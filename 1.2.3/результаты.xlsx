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 1.2.3\"/>
    </mc:Choice>
  </mc:AlternateContent>
  <xr:revisionPtr revIDLastSave="0" documentId="13_ncr:1_{BC8EFA49-6914-44B8-A3C6-4BF4CD80B2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Лист1" sheetId="1" r:id="rId1"/>
    <sheet name="Лист3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  <c r="A9" i="3"/>
  <c r="F3" i="3"/>
  <c r="F4" i="3"/>
  <c r="F5" i="3"/>
  <c r="F6" i="3"/>
  <c r="F2" i="3"/>
  <c r="I9" i="1"/>
  <c r="I10" i="1"/>
  <c r="I11" i="1"/>
  <c r="I12" i="1"/>
  <c r="I13" i="1"/>
  <c r="I8" i="1"/>
  <c r="L3" i="2"/>
  <c r="L4" i="2"/>
  <c r="L5" i="2"/>
  <c r="L6" i="2"/>
  <c r="L7" i="2"/>
  <c r="L2" i="2"/>
  <c r="O2" i="2"/>
  <c r="N4" i="2"/>
  <c r="J3" i="2"/>
  <c r="J4" i="2"/>
  <c r="J5" i="2"/>
  <c r="J6" i="2"/>
  <c r="J7" i="2"/>
  <c r="M7" i="2" s="1"/>
  <c r="J2" i="2"/>
  <c r="G2" i="2"/>
  <c r="E7" i="2"/>
  <c r="E3" i="2"/>
  <c r="E4" i="2"/>
  <c r="E5" i="2"/>
  <c r="E6" i="2"/>
  <c r="F3" i="2"/>
  <c r="F4" i="2"/>
  <c r="F6" i="2"/>
  <c r="F2" i="2"/>
  <c r="C6" i="2"/>
  <c r="O6" i="2" s="1"/>
  <c r="C4" i="2"/>
  <c r="O4" i="2" s="1"/>
  <c r="C3" i="2"/>
  <c r="O3" i="2" s="1"/>
  <c r="B5" i="2"/>
  <c r="F5" i="2" s="1"/>
  <c r="I3" i="1"/>
  <c r="I4" i="1"/>
  <c r="I5" i="1"/>
  <c r="I6" i="1"/>
  <c r="I2" i="1"/>
  <c r="B6" i="1"/>
  <c r="B14" i="1"/>
  <c r="B5" i="1"/>
  <c r="B4" i="1"/>
  <c r="B3" i="1"/>
  <c r="K2" i="1"/>
  <c r="L2" i="1"/>
  <c r="L9" i="1"/>
  <c r="D9" i="1"/>
  <c r="D10" i="1"/>
  <c r="D11" i="1"/>
  <c r="D12" i="1"/>
  <c r="D13" i="1"/>
  <c r="D8" i="1"/>
  <c r="D14" i="1"/>
  <c r="M9" i="1"/>
  <c r="M10" i="1"/>
  <c r="M11" i="1"/>
  <c r="M12" i="1"/>
  <c r="M13" i="1"/>
  <c r="M8" i="1"/>
  <c r="J9" i="1"/>
  <c r="J10" i="1"/>
  <c r="J11" i="1"/>
  <c r="J12" i="1"/>
  <c r="J13" i="1"/>
  <c r="J8" i="1"/>
  <c r="F13" i="1"/>
  <c r="F9" i="1"/>
  <c r="F10" i="1"/>
  <c r="F11" i="1"/>
  <c r="F12" i="1"/>
  <c r="F8" i="1"/>
  <c r="K3" i="1"/>
  <c r="L3" i="1" s="1"/>
  <c r="K4" i="1"/>
  <c r="L4" i="1" s="1"/>
  <c r="K5" i="1"/>
  <c r="L5" i="1" s="1"/>
  <c r="V5" i="1" s="1"/>
  <c r="K6" i="1"/>
  <c r="D3" i="1"/>
  <c r="D4" i="1"/>
  <c r="D5" i="1"/>
  <c r="D2" i="1"/>
  <c r="D6" i="1"/>
  <c r="I14" i="1"/>
  <c r="G14" i="1"/>
  <c r="G6" i="1"/>
  <c r="G2" i="1"/>
  <c r="G3" i="1"/>
  <c r="G4" i="1"/>
  <c r="G5" i="1"/>
  <c r="G2" i="3" l="1"/>
  <c r="I2" i="3"/>
  <c r="B7" i="3"/>
  <c r="H2" i="3"/>
  <c r="I6" i="3"/>
  <c r="I5" i="3"/>
  <c r="I4" i="3"/>
  <c r="I3" i="3"/>
  <c r="G3" i="3"/>
  <c r="H3" i="3" s="1"/>
  <c r="G4" i="3"/>
  <c r="H4" i="3" s="1"/>
  <c r="G5" i="3"/>
  <c r="H5" i="3" s="1"/>
  <c r="G6" i="3"/>
  <c r="H6" i="3" s="1"/>
  <c r="G6" i="2"/>
  <c r="G4" i="2"/>
  <c r="G3" i="2"/>
  <c r="R3" i="2"/>
  <c r="R4" i="2"/>
  <c r="R6" i="2"/>
  <c r="R2" i="2"/>
  <c r="P6" i="2"/>
  <c r="M6" i="2"/>
  <c r="Q6" i="2"/>
  <c r="M5" i="2"/>
  <c r="P4" i="2"/>
  <c r="M4" i="2"/>
  <c r="Q4" i="2"/>
  <c r="P2" i="2"/>
  <c r="M2" i="2"/>
  <c r="Q2" i="2"/>
  <c r="P3" i="2"/>
  <c r="M3" i="2"/>
  <c r="Q3" i="2"/>
  <c r="B7" i="2"/>
  <c r="C5" i="2"/>
  <c r="V4" i="1"/>
  <c r="V3" i="1"/>
  <c r="L6" i="1"/>
  <c r="V6" i="1" s="1"/>
  <c r="N9" i="1"/>
  <c r="N10" i="1"/>
  <c r="N11" i="1"/>
  <c r="N12" i="1"/>
  <c r="N13" i="1"/>
  <c r="N8" i="1"/>
  <c r="M2" i="1"/>
  <c r="M3" i="1"/>
  <c r="M4" i="1"/>
  <c r="M5" i="1"/>
  <c r="M6" i="1"/>
  <c r="N2" i="1"/>
  <c r="N6" i="1"/>
  <c r="N5" i="1"/>
  <c r="N4" i="1"/>
  <c r="N3" i="1"/>
  <c r="O8" i="1"/>
  <c r="O13" i="1"/>
  <c r="O12" i="1"/>
  <c r="O11" i="1"/>
  <c r="O10" i="1"/>
  <c r="O9" i="1"/>
  <c r="J2" i="1"/>
  <c r="J6" i="1"/>
  <c r="J5" i="1"/>
  <c r="J4" i="1"/>
  <c r="J3" i="1"/>
  <c r="J14" i="1"/>
  <c r="H7" i="3" l="1"/>
  <c r="I7" i="3"/>
  <c r="G7" i="3"/>
  <c r="O5" i="2"/>
  <c r="G5" i="2"/>
  <c r="P5" i="2" s="1"/>
  <c r="C7" i="2"/>
  <c r="F7" i="2"/>
  <c r="E9" i="3" l="1"/>
  <c r="E10" i="3" s="1"/>
  <c r="O7" i="2"/>
  <c r="G7" i="2"/>
  <c r="P7" i="2" s="1"/>
  <c r="R5" i="2"/>
  <c r="Q5" i="2"/>
  <c r="Q7" i="2" l="1"/>
  <c r="R7" i="2"/>
</calcChain>
</file>

<file path=xl/sharedStrings.xml><?xml version="1.0" encoding="utf-8"?>
<sst xmlns="http://schemas.openxmlformats.org/spreadsheetml/2006/main" count="83" uniqueCount="67">
  <si>
    <t>Тело</t>
  </si>
  <si>
    <t>X</t>
  </si>
  <si>
    <t>Y</t>
  </si>
  <si>
    <t>Z</t>
  </si>
  <si>
    <t>Комментарий</t>
  </si>
  <si>
    <t>Диск</t>
  </si>
  <si>
    <t>Брусок</t>
  </si>
  <si>
    <t>Масса, г</t>
  </si>
  <si>
    <t>Пустой подвес</t>
  </si>
  <si>
    <t>Время, с</t>
  </si>
  <si>
    <t>dX</t>
  </si>
  <si>
    <t>dY</t>
  </si>
  <si>
    <t>dZ</t>
  </si>
  <si>
    <t>X - R, Y - r, Z - L, 2R0 = 250,1 +- 0,1</t>
  </si>
  <si>
    <t>Диаметр, ширина, толщина</t>
  </si>
  <si>
    <t>Диаметр, толщина</t>
  </si>
  <si>
    <t>Длина, ширина, высота</t>
  </si>
  <si>
    <t>d</t>
  </si>
  <si>
    <t>t</t>
  </si>
  <si>
    <t>n</t>
  </si>
  <si>
    <t>Разделённый диск*</t>
  </si>
  <si>
    <t>Число пересечений</t>
  </si>
  <si>
    <t>Относительная погрешность времени, %</t>
  </si>
  <si>
    <t>Период, с</t>
  </si>
  <si>
    <t>Обод</t>
  </si>
  <si>
    <t>Комбинация</t>
  </si>
  <si>
    <t>Погрешность периода, c</t>
  </si>
  <si>
    <t>Погрешность измерения массы, г</t>
  </si>
  <si>
    <t>Погрешность измерения времени, с</t>
  </si>
  <si>
    <t>Относительная погрешность массы, %</t>
  </si>
  <si>
    <t>k</t>
  </si>
  <si>
    <t>T*T</t>
  </si>
  <si>
    <t>отн</t>
  </si>
  <si>
    <t>I</t>
  </si>
  <si>
    <t>абс</t>
  </si>
  <si>
    <t>I*</t>
  </si>
  <si>
    <t>T</t>
  </si>
  <si>
    <t>dT</t>
  </si>
  <si>
    <t>eT</t>
  </si>
  <si>
    <t>h</t>
  </si>
  <si>
    <t>h*h</t>
  </si>
  <si>
    <t xml:space="preserve"> m, г</t>
  </si>
  <si>
    <t>dm, г</t>
  </si>
  <si>
    <t>Em, доли</t>
  </si>
  <si>
    <t>t, с</t>
  </si>
  <si>
    <t>dt, с</t>
  </si>
  <si>
    <t>Et, с</t>
  </si>
  <si>
    <t>N</t>
  </si>
  <si>
    <t>dT = Et*T</t>
  </si>
  <si>
    <t>Платформа</t>
  </si>
  <si>
    <t>Разрезной диск ?</t>
  </si>
  <si>
    <t>dM</t>
  </si>
  <si>
    <t>M = m+m(пл)</t>
  </si>
  <si>
    <t>EM, доли</t>
  </si>
  <si>
    <t>Константа</t>
  </si>
  <si>
    <t>EI</t>
  </si>
  <si>
    <t>dI</t>
  </si>
  <si>
    <t>I(M)</t>
  </si>
  <si>
    <t>I(M) - I(пл) *10-3</t>
  </si>
  <si>
    <t>I теор 10-3</t>
  </si>
  <si>
    <t>T = t/N</t>
  </si>
  <si>
    <t>I 10-3</t>
  </si>
  <si>
    <t>h*h 10-6</t>
  </si>
  <si>
    <t>ху</t>
  </si>
  <si>
    <t>хх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</si>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</sst>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9"/>
      <name val="Arial"/>
      <family val="2"/>
      <charset val="204"/>
    </font>
    <font>
      <b/>
      <sz val="11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right" wrapText="1"/>
    </xf>
    <xf numFmtId="2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2" fontId="1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0" fontId="1" fillId="0" borderId="0" xfId="0" applyFont="1"/>
    <xf numFmtId="165" fontId="1" fillId="0" borderId="0" xfId="0" applyNumberFormat="1" applyFont="1" applyAlignment="1">
      <alignment horizontal="right"/>
    </xf>
    <xf numFmtId="2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right" wrapText="1"/>
    </xf>
    <xf numFmtId="165" fontId="1" fillId="0" borderId="0" xfId="0" applyNumberFormat="1" applyFont="1"/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right" wrapText="1"/>
    </xf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2" fontId="2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1" fontId="1" fillId="0" borderId="0" xfId="0" applyNumberFormat="1" applyFont="1"/>
    <xf numFmtId="1" fontId="1" fillId="0" borderId="0" xfId="0" applyNumberFormat="1" applyFont="1" applyAlignment="1">
      <alignment horizontal="center" wrapText="1"/>
    </xf>
    <xf numFmtId="167" fontId="1" fillId="0" borderId="0" xfId="0" applyNumberFormat="1" applyFont="1"/>
    <xf numFmtId="168" fontId="1" fillId="0" borderId="0" xfId="0" applyNumberFormat="1" applyFont="1"/>
    <xf numFmtId="164" fontId="2" fillId="0" borderId="0" xfId="0" applyNumberFormat="1" applyFont="1"/>
    <xf numFmtId="0" fontId="1" fillId="0" borderId="1" xfId="0" applyFont="1" applyBorder="1"/>
    <xf numFmtId="165" fontId="2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/>
    <xf numFmtId="1" fontId="2" fillId="0" borderId="1" xfId="0" applyNumberFormat="1" applyFont="1" applyBorder="1"/>
    <xf numFmtId="164" fontId="1" fillId="0" borderId="1" xfId="0" applyNumberFormat="1" applyFont="1" applyBorder="1" applyAlignment="1">
      <alignment horizontal="right" wrapText="1"/>
    </xf>
    <xf numFmtId="2" fontId="1" fillId="0" borderId="1" xfId="0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164" fontId="1" fillId="2" borderId="0" xfId="0" applyNumberFormat="1" applyFont="1" applyFill="1" applyAlignment="1">
      <alignment horizontal="right" wrapText="1"/>
    </xf>
    <xf numFmtId="167" fontId="2" fillId="0" borderId="0" xfId="0" applyNumberFormat="1" applyFont="1" applyAlignment="1">
      <alignment horizontal="right" wrapText="1"/>
    </xf>
    <xf numFmtId="167" fontId="0" fillId="0" borderId="0" xfId="0" applyNumberFormat="1"/>
    <xf numFmtId="0" fontId="2" fillId="0" borderId="0" xfId="0" applyFont="1"/>
    <xf numFmtId="166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" fontId="1" fillId="0" borderId="0" xfId="0" applyNumberFormat="1" applyFont="1" applyAlignment="1">
      <alignment horizontal="right"/>
    </xf>
    <xf numFmtId="165" fontId="2" fillId="0" borderId="0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4" fillId="0" borderId="0" xfId="0" applyFont="1"/>
    <xf numFmtId="165" fontId="1" fillId="0" borderId="2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2" fontId="1" fillId="0" borderId="2" xfId="0" applyNumberFormat="1" applyFont="1" applyBorder="1"/>
    <xf numFmtId="1" fontId="1" fillId="0" borderId="2" xfId="0" applyNumberFormat="1" applyFont="1" applyBorder="1"/>
    <xf numFmtId="164" fontId="1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Лист3!$L$2:$L$6</c:f>
              <c:numCache>
                <c:formatCode>General</c:formatCode>
                <c:ptCount val="5"/>
                <c:pt idx="0">
                  <c:v>1681</c:v>
                </c:pt>
                <c:pt idx="1">
                  <c:v>961</c:v>
                </c:pt>
                <c:pt idx="2">
                  <c:v>441</c:v>
                </c:pt>
                <c:pt idx="3">
                  <c:v>121</c:v>
                </c:pt>
                <c:pt idx="4">
                  <c:v>3136</c:v>
                </c:pt>
              </c:numCache>
            </c:numRef>
          </c:xVal>
          <c:yVal>
            <c:numRef>
              <c:f>Лист3!$M$2:$M$6</c:f>
              <c:numCache>
                <c:formatCode>General</c:formatCode>
                <c:ptCount val="5"/>
                <c:pt idx="0">
                  <c:v>11.563294234911718</c:v>
                </c:pt>
                <c:pt idx="1">
                  <c:v>10.871243022877875</c:v>
                </c:pt>
                <c:pt idx="2">
                  <c:v>10.221982122794444</c:v>
                </c:pt>
                <c:pt idx="3">
                  <c:v>9.7423473932310127</c:v>
                </c:pt>
                <c:pt idx="4">
                  <c:v>13.749359540251501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6-4249-B746-8DBA4841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45296"/>
        <c:axId val="635144576"/>
      </c:scatterChart>
      <c:valAx>
        <c:axId val="63514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35144576"/>
        <c:crosses val="autoZero"/>
        <c:crossBetween val="midCat"/>
      </c:valAx>
      <c:valAx>
        <c:axId val="635144576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3514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0</xdr:row>
      <xdr:rowOff>76200</xdr:rowOff>
    </xdr:from>
    <xdr:to>
      <xdr:col>20</xdr:col>
      <xdr:colOff>466725</xdr:colOff>
      <xdr:row>23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C10CD0-2016-D5A1-0327-49C95C678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A2" workbookViewId="0">
      <selection activeCell="B17" sqref="B17"/>
    </sheetView>
  </sheetViews>
  <sheetFormatPr defaultRowHeight="15" x14ac:dyDescent="0.25"/>
  <cols>
    <col min="1" max="1" width="21.85546875" style="12" customWidth="1"/>
    <col min="2" max="2" width="10.7109375" style="23" customWidth="1"/>
    <col min="3" max="4" width="10.7109375" style="13" customWidth="1"/>
    <col min="5" max="5" width="10.7109375" style="24" customWidth="1"/>
    <col min="6" max="7" width="10.7109375" style="14" customWidth="1"/>
    <col min="8" max="8" width="10.7109375" style="25" customWidth="1"/>
    <col min="9" max="10" width="10.7109375" style="16" customWidth="1"/>
    <col min="11" max="11" width="9.140625" style="14" customWidth="1"/>
    <col min="12" max="12" width="14.85546875" style="14" customWidth="1"/>
    <col min="13" max="14" width="9.140625" style="14" customWidth="1"/>
    <col min="15" max="15" width="9.140625" style="22"/>
    <col min="16" max="16" width="9.140625" style="19"/>
    <col min="17" max="17" width="9.140625" style="22"/>
    <col min="18" max="18" width="9.140625" style="19"/>
    <col min="19" max="19" width="9.140625" style="22"/>
    <col min="20" max="20" width="9.140625" style="19"/>
    <col min="21" max="21" width="17.42578125" style="15" customWidth="1"/>
  </cols>
  <sheetData>
    <row r="1" spans="1:22" s="1" customFormat="1" ht="86.25" customHeight="1" x14ac:dyDescent="0.25">
      <c r="A1" s="3" t="s">
        <v>0</v>
      </c>
      <c r="B1" s="4" t="s">
        <v>7</v>
      </c>
      <c r="C1" s="17" t="s">
        <v>27</v>
      </c>
      <c r="D1" s="5" t="s">
        <v>29</v>
      </c>
      <c r="E1" s="5" t="s">
        <v>9</v>
      </c>
      <c r="F1" s="5" t="s">
        <v>28</v>
      </c>
      <c r="G1" s="5" t="s">
        <v>22</v>
      </c>
      <c r="H1" s="39" t="s">
        <v>21</v>
      </c>
      <c r="I1" s="6" t="s">
        <v>23</v>
      </c>
      <c r="J1" s="6" t="s">
        <v>26</v>
      </c>
      <c r="K1" s="5" t="s">
        <v>31</v>
      </c>
      <c r="L1" s="5" t="s">
        <v>35</v>
      </c>
      <c r="M1" s="5" t="s">
        <v>32</v>
      </c>
      <c r="N1" s="5" t="s">
        <v>34</v>
      </c>
      <c r="O1" s="20" t="s">
        <v>1</v>
      </c>
      <c r="P1" s="17" t="s">
        <v>10</v>
      </c>
      <c r="Q1" s="20" t="s">
        <v>2</v>
      </c>
      <c r="R1" s="17" t="s">
        <v>11</v>
      </c>
      <c r="S1" s="20" t="s">
        <v>3</v>
      </c>
      <c r="T1" s="17" t="s">
        <v>12</v>
      </c>
      <c r="U1" s="7" t="s">
        <v>4</v>
      </c>
    </row>
    <row r="2" spans="1:22" s="2" customFormat="1" ht="15" customHeight="1" x14ac:dyDescent="0.25">
      <c r="A2" s="8" t="s">
        <v>8</v>
      </c>
      <c r="B2" s="4">
        <v>1066.8</v>
      </c>
      <c r="C2" s="4">
        <v>0.8</v>
      </c>
      <c r="D2" s="9">
        <f>C2/B2*100</f>
        <v>7.4990626171728539E-2</v>
      </c>
      <c r="E2" s="9">
        <v>85.86</v>
      </c>
      <c r="F2" s="9">
        <v>0.03</v>
      </c>
      <c r="G2" s="9">
        <f>F2/E2*100</f>
        <v>3.4940600978336823E-2</v>
      </c>
      <c r="H2" s="37">
        <v>20</v>
      </c>
      <c r="I2" s="55">
        <f>E2/(H2/2)</f>
        <v>8.5860000000000003</v>
      </c>
      <c r="J2" s="10">
        <f>I2*G2/100</f>
        <v>3.0000000000000001E-3</v>
      </c>
      <c r="K2" s="9">
        <f>I2*I2</f>
        <v>73.719396000000003</v>
      </c>
      <c r="L2" s="56">
        <f>$K$9*B2*K2/1000</f>
        <v>3.1536184512772798E-2</v>
      </c>
      <c r="M2" s="18">
        <f>SQRT($L$9*$L$9 + D2/100*D2/100 + 4*G2/100*G2/100)</f>
        <v>1.7486428187213198E-2</v>
      </c>
      <c r="N2" s="36">
        <f>L2*M2</f>
        <v>5.5145522578130659E-4</v>
      </c>
      <c r="O2" s="21">
        <v>114.6</v>
      </c>
      <c r="P2" s="4">
        <v>0.5</v>
      </c>
      <c r="Q2" s="21">
        <v>30.2</v>
      </c>
      <c r="R2" s="4">
        <v>0.3</v>
      </c>
      <c r="S2" s="21">
        <v>2144</v>
      </c>
      <c r="T2" s="4">
        <v>2</v>
      </c>
      <c r="U2" s="11" t="s">
        <v>13</v>
      </c>
    </row>
    <row r="3" spans="1:22" x14ac:dyDescent="0.25">
      <c r="A3" s="12" t="s">
        <v>5</v>
      </c>
      <c r="B3" s="13">
        <f>580.3+1066.8</f>
        <v>1647.1</v>
      </c>
      <c r="C3" s="13">
        <v>0.3</v>
      </c>
      <c r="D3" s="9">
        <f t="shared" ref="D3:D6" si="0">C3/B3*100</f>
        <v>1.8213830368526501E-2</v>
      </c>
      <c r="E3" s="14">
        <v>78.849999999999994</v>
      </c>
      <c r="F3" s="9">
        <v>0.03</v>
      </c>
      <c r="G3" s="9">
        <f t="shared" ref="G3:G6" si="1">F3/E3*100</f>
        <v>3.8046924540266328E-2</v>
      </c>
      <c r="H3" s="38">
        <v>20</v>
      </c>
      <c r="I3" s="55">
        <f t="shared" ref="I3:I6" si="2">E3/(H3/2)</f>
        <v>7.8849999999999998</v>
      </c>
      <c r="J3" s="10">
        <f t="shared" ref="J3:J6" si="3">I3*G3/100</f>
        <v>3.0000000000000001E-3</v>
      </c>
      <c r="K3" s="9">
        <f t="shared" ref="K3:K6" si="4">I3*I3</f>
        <v>62.173224999999995</v>
      </c>
      <c r="L3" s="56">
        <f>$K$9*B3*K3/1000</f>
        <v>4.1064613077897501E-2</v>
      </c>
      <c r="M3" s="18">
        <f t="shared" ref="M3:M6" si="5">SQRT($L$9*$L$9 + D3/100*D3/100 + 4*G3/100*G3/100)</f>
        <v>1.7473885511098238E-2</v>
      </c>
      <c r="N3" s="36">
        <f t="shared" ref="N3:N6" si="6">L3*M3</f>
        <v>7.1755834748072841E-4</v>
      </c>
      <c r="O3" s="22">
        <v>170.4</v>
      </c>
      <c r="P3" s="19">
        <v>0.1</v>
      </c>
      <c r="S3" s="22">
        <v>3.3</v>
      </c>
      <c r="T3" s="19">
        <v>0.1</v>
      </c>
      <c r="U3" s="15" t="s">
        <v>15</v>
      </c>
      <c r="V3" s="57">
        <f>L3-L$2</f>
        <v>9.5284285651247025E-3</v>
      </c>
    </row>
    <row r="4" spans="1:22" x14ac:dyDescent="0.25">
      <c r="A4" s="12" t="s">
        <v>6</v>
      </c>
      <c r="B4" s="13">
        <f>1074.4+1066.8</f>
        <v>2141.1999999999998</v>
      </c>
      <c r="C4" s="13">
        <v>0.3</v>
      </c>
      <c r="D4" s="9">
        <f t="shared" si="0"/>
        <v>1.4010835045768728E-2</v>
      </c>
      <c r="E4" s="14">
        <v>56.29</v>
      </c>
      <c r="F4" s="9">
        <v>0.03</v>
      </c>
      <c r="G4" s="9">
        <f t="shared" si="1"/>
        <v>5.3295434357790016E-2</v>
      </c>
      <c r="H4" s="38">
        <v>21</v>
      </c>
      <c r="I4" s="55">
        <f t="shared" si="2"/>
        <v>5.3609523809523809</v>
      </c>
      <c r="J4" s="10">
        <f t="shared" si="3"/>
        <v>2.8571428571428571E-3</v>
      </c>
      <c r="K4" s="9">
        <f t="shared" si="4"/>
        <v>28.739810430839</v>
      </c>
      <c r="L4" s="56">
        <f>$K$9*B4*K4/1000</f>
        <v>2.4676610519899493E-2</v>
      </c>
      <c r="M4" s="18">
        <f t="shared" si="5"/>
        <v>1.7489432946374582E-2</v>
      </c>
      <c r="N4" s="36">
        <f t="shared" si="6"/>
        <v>4.315799250315838E-4</v>
      </c>
      <c r="O4" s="22">
        <v>205</v>
      </c>
      <c r="P4" s="19">
        <v>0.1</v>
      </c>
      <c r="Q4" s="22">
        <v>25</v>
      </c>
      <c r="R4" s="19">
        <v>0.1</v>
      </c>
      <c r="S4" s="22">
        <v>25</v>
      </c>
      <c r="T4" s="19">
        <v>0.1</v>
      </c>
      <c r="U4" s="15" t="s">
        <v>16</v>
      </c>
      <c r="V4" s="57">
        <f t="shared" ref="V4:V6" si="7">L4-L$2</f>
        <v>-6.8595739928733052E-3</v>
      </c>
    </row>
    <row r="5" spans="1:22" x14ac:dyDescent="0.25">
      <c r="A5" s="12" t="s">
        <v>24</v>
      </c>
      <c r="B5" s="13">
        <f>747.6+1066.8</f>
        <v>1814.4</v>
      </c>
      <c r="C5" s="13">
        <v>0.3</v>
      </c>
      <c r="D5" s="9">
        <f t="shared" si="0"/>
        <v>1.6534391534391533E-2</v>
      </c>
      <c r="E5" s="14">
        <v>75.28</v>
      </c>
      <c r="F5" s="9">
        <v>0.03</v>
      </c>
      <c r="G5" s="9">
        <f t="shared" si="1"/>
        <v>3.9851222104144525E-2</v>
      </c>
      <c r="H5" s="38">
        <v>20</v>
      </c>
      <c r="I5" s="55">
        <f t="shared" si="2"/>
        <v>7.5280000000000005</v>
      </c>
      <c r="J5" s="10">
        <f t="shared" si="3"/>
        <v>3.0000000000000001E-3</v>
      </c>
      <c r="K5" s="9">
        <f t="shared" si="4"/>
        <v>56.670784000000005</v>
      </c>
      <c r="L5" s="56">
        <f>$K$9*B5*K5/1000</f>
        <v>4.1232211666329607E-2</v>
      </c>
      <c r="M5" s="18">
        <f t="shared" si="5"/>
        <v>1.7475327169416008E-2</v>
      </c>
      <c r="N5" s="36">
        <f t="shared" si="6"/>
        <v>7.205463887877215E-4</v>
      </c>
      <c r="O5" s="22">
        <v>158.80000000000001</v>
      </c>
      <c r="P5" s="19">
        <v>0.1</v>
      </c>
      <c r="Q5" s="22">
        <v>55.6</v>
      </c>
      <c r="R5" s="19">
        <v>0.1</v>
      </c>
      <c r="S5" s="22">
        <v>4</v>
      </c>
      <c r="T5" s="19">
        <v>0.1</v>
      </c>
      <c r="U5" s="15" t="s">
        <v>14</v>
      </c>
      <c r="V5" s="57">
        <f t="shared" si="7"/>
        <v>9.6960271535568091E-3</v>
      </c>
    </row>
    <row r="6" spans="1:22" x14ac:dyDescent="0.25">
      <c r="A6" s="12" t="s">
        <v>25</v>
      </c>
      <c r="B6" s="13">
        <f>B5+B14-B2</f>
        <v>3151.0999999999995</v>
      </c>
      <c r="C6" s="13">
        <v>0.3</v>
      </c>
      <c r="D6" s="9">
        <f t="shared" si="0"/>
        <v>9.5204849100314192E-3</v>
      </c>
      <c r="E6" s="14">
        <v>66.599999999999994</v>
      </c>
      <c r="F6" s="9">
        <v>0.03</v>
      </c>
      <c r="G6" s="9">
        <f t="shared" si="1"/>
        <v>4.5045045045045043E-2</v>
      </c>
      <c r="H6" s="38">
        <v>20</v>
      </c>
      <c r="I6" s="55">
        <f t="shared" si="2"/>
        <v>6.6599999999999993</v>
      </c>
      <c r="J6" s="10">
        <f t="shared" si="3"/>
        <v>2.9999999999999992E-3</v>
      </c>
      <c r="K6" s="9">
        <f t="shared" si="4"/>
        <v>44.355599999999988</v>
      </c>
      <c r="L6" s="56">
        <f t="shared" ref="L6" si="8">$K$9*B6*K6/1000</f>
        <v>5.6047341395159975E-2</v>
      </c>
      <c r="M6" s="18">
        <f t="shared" si="5"/>
        <v>1.7479850099558828E-2</v>
      </c>
      <c r="N6" s="36">
        <f t="shared" si="6"/>
        <v>9.796991260661947E-4</v>
      </c>
      <c r="V6" s="57">
        <f t="shared" si="7"/>
        <v>2.4511156882387176E-2</v>
      </c>
    </row>
    <row r="7" spans="1:22" s="34" customFormat="1" x14ac:dyDescent="0.25">
      <c r="A7" s="26"/>
      <c r="B7" s="27" t="s">
        <v>17</v>
      </c>
      <c r="C7" s="28" t="s">
        <v>39</v>
      </c>
      <c r="D7" s="28" t="s">
        <v>40</v>
      </c>
      <c r="E7" s="29" t="s">
        <v>18</v>
      </c>
      <c r="F7" s="30" t="s">
        <v>38</v>
      </c>
      <c r="G7" s="30"/>
      <c r="H7" s="32" t="s">
        <v>19</v>
      </c>
      <c r="I7" s="31" t="s">
        <v>36</v>
      </c>
      <c r="J7" s="31" t="s">
        <v>37</v>
      </c>
      <c r="K7" s="30"/>
      <c r="L7" s="30"/>
      <c r="M7" s="30" t="s">
        <v>33</v>
      </c>
      <c r="N7" s="30"/>
      <c r="O7" s="27"/>
      <c r="P7" s="28"/>
      <c r="Q7" s="27"/>
      <c r="R7" s="28"/>
      <c r="S7" s="27"/>
      <c r="T7" s="28"/>
      <c r="U7" s="33"/>
    </row>
    <row r="8" spans="1:22" x14ac:dyDescent="0.25">
      <c r="B8" s="35">
        <v>1</v>
      </c>
      <c r="C8" s="13">
        <v>41</v>
      </c>
      <c r="D8" s="13">
        <f>C8*C8</f>
        <v>1681</v>
      </c>
      <c r="E8" s="24">
        <v>138.55000000000001</v>
      </c>
      <c r="F8" s="41">
        <f>$F$6/E8</f>
        <v>2.1652832912306025E-4</v>
      </c>
      <c r="H8" s="25">
        <v>40</v>
      </c>
      <c r="I8" s="42">
        <f>E8/(H8)</f>
        <v>3.4637500000000001</v>
      </c>
      <c r="J8" s="16">
        <f>I8*F8</f>
        <v>7.5000000000000002E-4</v>
      </c>
      <c r="K8" s="14" t="s">
        <v>30</v>
      </c>
      <c r="M8" s="42">
        <f>$K$9*$B$14*I8*I8/1000</f>
        <v>1.1563294234911717E-2</v>
      </c>
      <c r="N8" s="18">
        <f>SQRT($L$9*$L$9 + $D$14/100*$D$14/100 + 4*F8*F8)</f>
        <v>1.7462176001356255E-2</v>
      </c>
      <c r="O8" s="42">
        <f>M8*N8</f>
        <v>2.0192027908549651E-4</v>
      </c>
    </row>
    <row r="9" spans="1:22" x14ac:dyDescent="0.25">
      <c r="B9" s="35">
        <v>3</v>
      </c>
      <c r="C9" s="13">
        <v>31</v>
      </c>
      <c r="D9" s="13">
        <f t="shared" ref="D9:D13" si="9">C9*C9</f>
        <v>961</v>
      </c>
      <c r="E9" s="24">
        <v>67.17</v>
      </c>
      <c r="F9" s="41">
        <f t="shared" ref="F9:F13" si="10">$F$6/E9</f>
        <v>4.4662795891022776E-4</v>
      </c>
      <c r="H9" s="25">
        <v>20</v>
      </c>
      <c r="I9" s="42">
        <f t="shared" ref="I9:I13" si="11">E9/(H9)</f>
        <v>3.3585000000000003</v>
      </c>
      <c r="J9" s="16">
        <f t="shared" ref="J9:J13" si="12">I9*F9</f>
        <v>1.5E-3</v>
      </c>
      <c r="K9" s="40">
        <v>4.0099999999999999E-4</v>
      </c>
      <c r="L9" s="40">
        <f>0.000007/K9</f>
        <v>1.7456359102244388E-2</v>
      </c>
      <c r="M9" s="42">
        <f t="shared" ref="M9:M13" si="13">$K$9*$B$14*I9*I9/1000</f>
        <v>1.0871243022877876E-2</v>
      </c>
      <c r="N9" s="18">
        <f t="shared" ref="N9:N13" si="14">SQRT($L$9*$L$9 + $D$14/100*$D$14/100 + 4*F9*F9)</f>
        <v>1.7479644125891477E-2</v>
      </c>
      <c r="O9" s="42">
        <f t="shared" ref="O9:O13" si="15">M9*N9</f>
        <v>1.9002545924598596E-4</v>
      </c>
    </row>
    <row r="10" spans="1:22" x14ac:dyDescent="0.25">
      <c r="B10" s="35">
        <v>5</v>
      </c>
      <c r="C10" s="13">
        <v>21</v>
      </c>
      <c r="D10" s="13">
        <f t="shared" si="9"/>
        <v>441</v>
      </c>
      <c r="E10" s="24">
        <v>68.39</v>
      </c>
      <c r="F10" s="14">
        <f t="shared" si="10"/>
        <v>4.3866062289808452E-4</v>
      </c>
      <c r="H10" s="25">
        <v>21</v>
      </c>
      <c r="I10" s="42">
        <f t="shared" si="11"/>
        <v>3.2566666666666668</v>
      </c>
      <c r="J10" s="16">
        <f t="shared" si="12"/>
        <v>1.4285714285714286E-3</v>
      </c>
      <c r="M10" s="42">
        <f t="shared" si="13"/>
        <v>1.0221982122794444E-2</v>
      </c>
      <c r="N10" s="18">
        <f t="shared" si="14"/>
        <v>1.7478837066619062E-2</v>
      </c>
      <c r="O10" s="42">
        <f t="shared" si="15"/>
        <v>1.7866836002221692E-4</v>
      </c>
    </row>
    <row r="11" spans="1:22" x14ac:dyDescent="0.25">
      <c r="B11" s="35">
        <v>7</v>
      </c>
      <c r="C11" s="13">
        <v>11</v>
      </c>
      <c r="D11" s="13">
        <f t="shared" si="9"/>
        <v>121</v>
      </c>
      <c r="E11" s="24">
        <v>193.94</v>
      </c>
      <c r="F11" s="14">
        <f t="shared" si="10"/>
        <v>1.5468701660307311E-4</v>
      </c>
      <c r="H11" s="25">
        <v>61</v>
      </c>
      <c r="I11" s="42">
        <f t="shared" si="11"/>
        <v>3.179344262295082</v>
      </c>
      <c r="J11" s="16">
        <f t="shared" si="12"/>
        <v>4.9180327868852459E-4</v>
      </c>
      <c r="M11" s="42">
        <f t="shared" si="13"/>
        <v>9.7423473932310121E-3</v>
      </c>
      <c r="N11" s="18">
        <f t="shared" si="14"/>
        <v>1.7459546526915105E-2</v>
      </c>
      <c r="O11" s="42">
        <f t="shared" si="15"/>
        <v>1.7009696759348695E-4</v>
      </c>
    </row>
    <row r="12" spans="1:22" x14ac:dyDescent="0.25">
      <c r="B12" s="35">
        <v>-2</v>
      </c>
      <c r="C12" s="13">
        <v>56</v>
      </c>
      <c r="D12" s="13">
        <f t="shared" si="9"/>
        <v>3136</v>
      </c>
      <c r="E12" s="24">
        <v>75.540000000000006</v>
      </c>
      <c r="F12" s="14">
        <f t="shared" si="10"/>
        <v>3.9714058776806987E-4</v>
      </c>
      <c r="H12" s="25">
        <v>20</v>
      </c>
      <c r="I12" s="42">
        <f t="shared" si="11"/>
        <v>3.7770000000000001</v>
      </c>
      <c r="J12" s="16">
        <f t="shared" si="12"/>
        <v>1.5E-3</v>
      </c>
      <c r="M12" s="42">
        <f t="shared" si="13"/>
        <v>1.3749359540251501E-2</v>
      </c>
      <c r="N12" s="18">
        <f t="shared" si="14"/>
        <v>1.7474865814045674E-2</v>
      </c>
      <c r="O12" s="42">
        <f t="shared" si="15"/>
        <v>2.402682129949637E-4</v>
      </c>
    </row>
    <row r="13" spans="1:22" x14ac:dyDescent="0.25">
      <c r="B13" s="23">
        <v>0</v>
      </c>
      <c r="C13" s="13">
        <v>46</v>
      </c>
      <c r="D13" s="13">
        <f t="shared" si="9"/>
        <v>2116</v>
      </c>
      <c r="E13" s="24">
        <v>125.52</v>
      </c>
      <c r="F13" s="14">
        <f t="shared" si="10"/>
        <v>2.390057361376673E-4</v>
      </c>
      <c r="H13" s="25">
        <v>40</v>
      </c>
      <c r="I13" s="42">
        <f t="shared" si="11"/>
        <v>3.1379999999999999</v>
      </c>
      <c r="J13" s="16">
        <f t="shared" si="12"/>
        <v>7.4999999999999991E-4</v>
      </c>
      <c r="M13" s="42">
        <f t="shared" si="13"/>
        <v>9.4906154718539977E-3</v>
      </c>
      <c r="N13" s="18">
        <f t="shared" si="14"/>
        <v>1.7463348693784877E-2</v>
      </c>
      <c r="O13" s="42">
        <f t="shared" si="15"/>
        <v>1.6573792730361606E-4</v>
      </c>
    </row>
    <row r="14" spans="1:22" s="54" customFormat="1" x14ac:dyDescent="0.25">
      <c r="A14" s="43" t="s">
        <v>20</v>
      </c>
      <c r="B14" s="44">
        <f>1336.7+1066.8</f>
        <v>2403.5</v>
      </c>
      <c r="C14" s="45">
        <v>0.3</v>
      </c>
      <c r="D14" s="46">
        <f t="shared" ref="D14" si="16">C14/B14*100</f>
        <v>1.2481797378822551E-2</v>
      </c>
      <c r="E14" s="47">
        <v>125.52</v>
      </c>
      <c r="F14" s="46">
        <v>0.03</v>
      </c>
      <c r="G14" s="46">
        <f t="shared" ref="G14" si="17">F14/E14*100</f>
        <v>2.390057361376673E-2</v>
      </c>
      <c r="H14" s="48">
        <v>40</v>
      </c>
      <c r="I14" s="49">
        <f t="shared" ref="I14" si="18">E14/(H14/2)</f>
        <v>6.2759999999999998</v>
      </c>
      <c r="J14" s="49">
        <f t="shared" ref="J14" si="19">I14*G14/100</f>
        <v>1.5E-3</v>
      </c>
      <c r="K14" s="50"/>
      <c r="L14" s="50"/>
      <c r="M14" s="50"/>
      <c r="N14" s="50"/>
      <c r="O14" s="51">
        <v>91.8</v>
      </c>
      <c r="P14" s="52">
        <v>0.1</v>
      </c>
      <c r="Q14" s="51"/>
      <c r="R14" s="52"/>
      <c r="S14" s="51">
        <v>24</v>
      </c>
      <c r="T14" s="52">
        <v>0.1</v>
      </c>
      <c r="U14" s="53" t="s">
        <v>15</v>
      </c>
    </row>
    <row r="17" spans="3:7" x14ac:dyDescent="0.25">
      <c r="C17" s="66" t="s">
        <v>39</v>
      </c>
      <c r="D17" s="66" t="s">
        <v>18</v>
      </c>
      <c r="E17" s="67" t="s">
        <v>47</v>
      </c>
      <c r="F17" s="67" t="s">
        <v>36</v>
      </c>
      <c r="G17" s="67" t="s">
        <v>33</v>
      </c>
    </row>
    <row r="18" spans="3:7" x14ac:dyDescent="0.25">
      <c r="C18" s="68">
        <v>41</v>
      </c>
      <c r="D18" s="69">
        <v>138.55000000000001</v>
      </c>
      <c r="E18" s="70">
        <v>40</v>
      </c>
      <c r="F18" s="71">
        <v>3.4637500000000001</v>
      </c>
      <c r="G18" s="71">
        <v>1.1563294234911717E-2</v>
      </c>
    </row>
    <row r="19" spans="3:7" x14ac:dyDescent="0.25">
      <c r="C19" s="68">
        <v>31</v>
      </c>
      <c r="D19" s="69">
        <v>67.17</v>
      </c>
      <c r="E19" s="70">
        <v>20</v>
      </c>
      <c r="F19" s="71">
        <v>3.3585000000000003</v>
      </c>
      <c r="G19" s="71">
        <v>1.0871243022877876E-2</v>
      </c>
    </row>
    <row r="20" spans="3:7" x14ac:dyDescent="0.25">
      <c r="C20" s="68">
        <v>21</v>
      </c>
      <c r="D20" s="69">
        <v>68.39</v>
      </c>
      <c r="E20" s="70">
        <v>21</v>
      </c>
      <c r="F20" s="71">
        <v>3.2566666666666668</v>
      </c>
      <c r="G20" s="71">
        <v>1.0221982122794444E-2</v>
      </c>
    </row>
    <row r="21" spans="3:7" x14ac:dyDescent="0.25">
      <c r="C21" s="68">
        <v>11</v>
      </c>
      <c r="D21" s="69">
        <v>193.94</v>
      </c>
      <c r="E21" s="70">
        <v>61</v>
      </c>
      <c r="F21" s="71">
        <v>3.179344262295082</v>
      </c>
      <c r="G21" s="71">
        <v>9.7423473932310121E-3</v>
      </c>
    </row>
    <row r="22" spans="3:7" x14ac:dyDescent="0.25">
      <c r="C22" s="68">
        <v>56</v>
      </c>
      <c r="D22" s="69">
        <v>75.540000000000006</v>
      </c>
      <c r="E22" s="70">
        <v>20</v>
      </c>
      <c r="F22" s="71">
        <v>3.7770000000000001</v>
      </c>
      <c r="G22" s="71">
        <v>1.3749359540251501E-2</v>
      </c>
    </row>
    <row r="23" spans="3:7" x14ac:dyDescent="0.25">
      <c r="C23" s="62"/>
      <c r="D23" s="14"/>
      <c r="E23" s="38"/>
      <c r="F23" s="16"/>
      <c r="G23" s="1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BDD3-6D89-46F4-98AA-C68C9173DE4A}">
  <dimension ref="A1:M10"/>
  <sheetViews>
    <sheetView tabSelected="1" topLeftCell="B1" workbookViewId="0">
      <selection activeCell="F9" sqref="F9"/>
    </sheetView>
  </sheetViews>
  <sheetFormatPr defaultRowHeight="15" x14ac:dyDescent="0.25"/>
  <sheetData>
    <row r="1" spans="1:13" x14ac:dyDescent="0.25">
      <c r="A1" t="s">
        <v>17</v>
      </c>
      <c r="B1" t="s">
        <v>62</v>
      </c>
      <c r="C1" t="s">
        <v>39</v>
      </c>
      <c r="D1" t="s">
        <v>18</v>
      </c>
      <c r="E1" t="s">
        <v>47</v>
      </c>
      <c r="F1" t="s">
        <v>36</v>
      </c>
      <c r="G1" t="s">
        <v>61</v>
      </c>
      <c r="H1" t="s">
        <v>63</v>
      </c>
      <c r="I1" t="s">
        <v>64</v>
      </c>
    </row>
    <row r="2" spans="1:13" x14ac:dyDescent="0.25">
      <c r="A2" s="35">
        <v>1</v>
      </c>
      <c r="B2" s="64">
        <f>C2*C2</f>
        <v>1681</v>
      </c>
      <c r="C2" s="35">
        <v>41</v>
      </c>
      <c r="D2" s="24">
        <v>138.55000000000001</v>
      </c>
      <c r="E2" s="25">
        <v>40</v>
      </c>
      <c r="F2">
        <f>D2/E2</f>
        <v>3.4637500000000001</v>
      </c>
      <c r="G2" s="65">
        <f>$A$10*$A$9*F2*F2</f>
        <v>11.563294234911718</v>
      </c>
      <c r="H2">
        <f>B2*G2</f>
        <v>19437.897608886597</v>
      </c>
      <c r="I2">
        <f>B2*B2</f>
        <v>2825761</v>
      </c>
      <c r="L2">
        <v>1681</v>
      </c>
      <c r="M2">
        <v>11.563294234911718</v>
      </c>
    </row>
    <row r="3" spans="1:13" x14ac:dyDescent="0.25">
      <c r="A3" s="35">
        <v>3</v>
      </c>
      <c r="B3" s="64">
        <f t="shared" ref="B3:B6" si="0">C3*C3</f>
        <v>961</v>
      </c>
      <c r="C3" s="35">
        <v>31</v>
      </c>
      <c r="D3" s="24">
        <v>67.17</v>
      </c>
      <c r="E3" s="25">
        <v>20</v>
      </c>
      <c r="F3">
        <f t="shared" ref="F3:F6" si="1">D3/E3</f>
        <v>3.3585000000000003</v>
      </c>
      <c r="G3" s="65">
        <f>$A$10*$A$9*F3*F3</f>
        <v>10.871243022877875</v>
      </c>
      <c r="H3">
        <f t="shared" ref="H3:H6" si="2">B3*G3</f>
        <v>10447.264544985639</v>
      </c>
      <c r="I3">
        <f t="shared" ref="I3:I6" si="3">B3*B3</f>
        <v>923521</v>
      </c>
      <c r="L3">
        <v>961</v>
      </c>
      <c r="M3">
        <v>10.871243022877875</v>
      </c>
    </row>
    <row r="4" spans="1:13" x14ac:dyDescent="0.25">
      <c r="A4" s="35">
        <v>5</v>
      </c>
      <c r="B4" s="64">
        <f t="shared" si="0"/>
        <v>441</v>
      </c>
      <c r="C4" s="35">
        <v>21</v>
      </c>
      <c r="D4" s="24">
        <v>68.39</v>
      </c>
      <c r="E4" s="25">
        <v>21</v>
      </c>
      <c r="F4">
        <f t="shared" si="1"/>
        <v>3.2566666666666668</v>
      </c>
      <c r="G4" s="65">
        <f>$A$10*$A$9*F4*F4</f>
        <v>10.221982122794444</v>
      </c>
      <c r="H4">
        <f t="shared" si="2"/>
        <v>4507.8941161523499</v>
      </c>
      <c r="I4">
        <f t="shared" si="3"/>
        <v>194481</v>
      </c>
      <c r="L4">
        <v>441</v>
      </c>
      <c r="M4">
        <v>10.221982122794444</v>
      </c>
    </row>
    <row r="5" spans="1:13" x14ac:dyDescent="0.25">
      <c r="A5" s="35">
        <v>7</v>
      </c>
      <c r="B5" s="64">
        <f t="shared" si="0"/>
        <v>121</v>
      </c>
      <c r="C5" s="35">
        <v>11</v>
      </c>
      <c r="D5" s="24">
        <v>193.94</v>
      </c>
      <c r="E5" s="25">
        <v>61</v>
      </c>
      <c r="F5">
        <f t="shared" si="1"/>
        <v>3.179344262295082</v>
      </c>
      <c r="G5" s="65">
        <f>$A$10*$A$9*F5*F5</f>
        <v>9.7423473932310127</v>
      </c>
      <c r="H5">
        <f t="shared" si="2"/>
        <v>1178.8240345809525</v>
      </c>
      <c r="I5">
        <f t="shared" si="3"/>
        <v>14641</v>
      </c>
      <c r="L5">
        <v>121</v>
      </c>
      <c r="M5">
        <v>9.7423473932310127</v>
      </c>
    </row>
    <row r="6" spans="1:13" x14ac:dyDescent="0.25">
      <c r="A6" s="35">
        <v>-2</v>
      </c>
      <c r="B6" s="64">
        <f t="shared" si="0"/>
        <v>3136</v>
      </c>
      <c r="C6" s="35">
        <v>56</v>
      </c>
      <c r="D6" s="24">
        <v>75.540000000000006</v>
      </c>
      <c r="E6" s="25">
        <v>20</v>
      </c>
      <c r="F6">
        <f t="shared" si="1"/>
        <v>3.7770000000000001</v>
      </c>
      <c r="G6" s="65">
        <f>$A$10*$A$9*F6*F6</f>
        <v>13.749359540251501</v>
      </c>
      <c r="H6">
        <f t="shared" si="2"/>
        <v>43117.991518228708</v>
      </c>
      <c r="I6">
        <f t="shared" si="3"/>
        <v>9834496</v>
      </c>
      <c r="L6">
        <v>3136</v>
      </c>
      <c r="M6">
        <v>13.749359540251501</v>
      </c>
    </row>
    <row r="7" spans="1:13" x14ac:dyDescent="0.25">
      <c r="B7">
        <f>AVERAGE(B2:B6)</f>
        <v>1268</v>
      </c>
      <c r="G7">
        <f>AVERAGE(G2:G6)</f>
        <v>11.22964526281331</v>
      </c>
      <c r="H7">
        <f>AVERAGE(H2:H6)</f>
        <v>15737.97436456685</v>
      </c>
      <c r="I7">
        <f>AVERAGE(I2:I6)</f>
        <v>2758580</v>
      </c>
    </row>
    <row r="9" spans="1:13" x14ac:dyDescent="0.25">
      <c r="A9" s="44">
        <f>1336.7+1066.8</f>
        <v>2403.5</v>
      </c>
      <c r="B9" s="63"/>
      <c r="D9" t="s">
        <v>65</v>
      </c>
      <c r="E9">
        <f>(H7-(G7*B7))/(I7-B7*B7)</f>
        <v>1.3024343747237226E-3</v>
      </c>
    </row>
    <row r="10" spans="1:13" x14ac:dyDescent="0.25">
      <c r="A10">
        <v>4.0099999999999999E-4</v>
      </c>
      <c r="D10" t="s">
        <v>66</v>
      </c>
      <c r="E10">
        <f>G7-E9*B7</f>
        <v>9.5781584756636295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BD16-EE52-4753-B465-CC4D2A4742EE}">
  <dimension ref="A1:AD19"/>
  <sheetViews>
    <sheetView zoomScaleNormal="100" workbookViewId="0">
      <pane xSplit="1" topLeftCell="B1" activePane="topRight" state="frozen"/>
      <selection pane="topRight" activeCell="N2" sqref="N2"/>
    </sheetView>
  </sheetViews>
  <sheetFormatPr defaultRowHeight="15" x14ac:dyDescent="0.25"/>
  <cols>
    <col min="1" max="19" width="12.7109375" customWidth="1"/>
  </cols>
  <sheetData>
    <row r="1" spans="1:30" x14ac:dyDescent="0.25">
      <c r="A1" t="s">
        <v>0</v>
      </c>
      <c r="B1" t="s">
        <v>41</v>
      </c>
      <c r="C1" t="s">
        <v>52</v>
      </c>
      <c r="D1" t="s">
        <v>42</v>
      </c>
      <c r="E1" t="s">
        <v>51</v>
      </c>
      <c r="F1" t="s">
        <v>43</v>
      </c>
      <c r="G1" t="s">
        <v>53</v>
      </c>
      <c r="H1" t="s">
        <v>44</v>
      </c>
      <c r="I1" t="s">
        <v>45</v>
      </c>
      <c r="J1" t="s">
        <v>46</v>
      </c>
      <c r="K1" t="s">
        <v>47</v>
      </c>
      <c r="L1" t="s">
        <v>60</v>
      </c>
      <c r="M1" t="s">
        <v>48</v>
      </c>
      <c r="N1" t="s">
        <v>54</v>
      </c>
      <c r="O1" t="s">
        <v>57</v>
      </c>
      <c r="P1" t="s">
        <v>55</v>
      </c>
      <c r="Q1" t="s">
        <v>56</v>
      </c>
      <c r="R1" t="s">
        <v>58</v>
      </c>
      <c r="S1" t="s">
        <v>59</v>
      </c>
    </row>
    <row r="2" spans="1:30" x14ac:dyDescent="0.25">
      <c r="A2" t="s">
        <v>49</v>
      </c>
      <c r="B2">
        <v>1066.8</v>
      </c>
      <c r="C2">
        <v>1066.8</v>
      </c>
      <c r="D2">
        <v>0.8</v>
      </c>
      <c r="E2" s="60">
        <v>0.8</v>
      </c>
      <c r="F2" s="57">
        <f>D2/B2</f>
        <v>7.4990626171728538E-4</v>
      </c>
      <c r="G2" s="57">
        <f>E2/C2</f>
        <v>7.4990626171728538E-4</v>
      </c>
      <c r="H2">
        <v>85.86</v>
      </c>
      <c r="I2">
        <v>0.03</v>
      </c>
      <c r="J2" s="57">
        <f>I2/H2</f>
        <v>3.4940600978336826E-4</v>
      </c>
      <c r="K2">
        <v>20</v>
      </c>
      <c r="L2" s="61">
        <f>H2/K2</f>
        <v>4.2930000000000001</v>
      </c>
      <c r="M2" s="61">
        <f>J2*L2</f>
        <v>1.5E-3</v>
      </c>
      <c r="N2">
        <v>4.0099999999999999E-4</v>
      </c>
      <c r="O2">
        <f>$N$2*C2*L2*L2/1000</f>
        <v>7.8840461281931996E-3</v>
      </c>
      <c r="P2">
        <f>SQRT($N$4*$N$4+G2*G2+4*J2*J2)</f>
        <v>1.7486428187213198E-2</v>
      </c>
      <c r="Q2">
        <f>O2*P2</f>
        <v>1.3786380644532665E-4</v>
      </c>
      <c r="R2">
        <f>(O2-O$2)*1000</f>
        <v>0</v>
      </c>
    </row>
    <row r="3" spans="1:30" x14ac:dyDescent="0.25">
      <c r="A3" t="s">
        <v>5</v>
      </c>
      <c r="B3">
        <v>580.29999999999995</v>
      </c>
      <c r="C3">
        <f>B3+B$2</f>
        <v>1647.1</v>
      </c>
      <c r="D3">
        <v>0.3</v>
      </c>
      <c r="E3" s="60">
        <f t="shared" ref="E3:E6" si="0">SQRT(D$2*D$2+D3*D3)</f>
        <v>0.85440037453175322</v>
      </c>
      <c r="F3" s="57">
        <f t="shared" ref="F3:F7" si="1">D3/B3</f>
        <v>5.169739789763916E-4</v>
      </c>
      <c r="G3" s="57">
        <f t="shared" ref="G3:G7" si="2">E3/C3</f>
        <v>5.1873011628422879E-4</v>
      </c>
      <c r="H3">
        <v>78.150000000000006</v>
      </c>
      <c r="I3">
        <v>0.03</v>
      </c>
      <c r="J3" s="57">
        <f t="shared" ref="J3:J7" si="3">I3/H3</f>
        <v>3.8387715930902108E-4</v>
      </c>
      <c r="K3">
        <v>20</v>
      </c>
      <c r="L3" s="61">
        <f t="shared" ref="L3:L7" si="4">H3/K3</f>
        <v>3.9075000000000002</v>
      </c>
      <c r="M3" s="61">
        <f t="shared" ref="M3:M7" si="5">J3*L3</f>
        <v>1.5E-3</v>
      </c>
      <c r="N3">
        <v>6.9999999999999999E-6</v>
      </c>
      <c r="O3">
        <f t="shared" ref="O3:O7" si="6">$N$2*C3*L3*L3/1000</f>
        <v>1.0084684438749375E-2</v>
      </c>
      <c r="P3">
        <f t="shared" ref="P3:P7" si="7">SQRT($N$4*$N$4+G3*G3+4*J3*J3)</f>
        <v>1.748093249039671E-2</v>
      </c>
      <c r="Q3">
        <f t="shared" ref="Q3:Q7" si="8">O3*P3</f>
        <v>1.7628968786073207E-4</v>
      </c>
      <c r="R3">
        <f t="shared" ref="R3:R7" si="9">(O3-O$2)*1000</f>
        <v>2.200638310556176</v>
      </c>
      <c r="S3">
        <v>2.11</v>
      </c>
    </row>
    <row r="4" spans="1:30" x14ac:dyDescent="0.25">
      <c r="A4" t="s">
        <v>6</v>
      </c>
      <c r="B4">
        <v>1074.4000000000001</v>
      </c>
      <c r="C4">
        <f t="shared" ref="C4:C5" si="10">B4+B$2</f>
        <v>2141.1999999999998</v>
      </c>
      <c r="D4">
        <v>0.3</v>
      </c>
      <c r="E4" s="60">
        <f t="shared" si="0"/>
        <v>0.85440037453175322</v>
      </c>
      <c r="F4" s="57">
        <f t="shared" si="1"/>
        <v>2.7922561429635144E-4</v>
      </c>
      <c r="G4" s="57">
        <f t="shared" si="2"/>
        <v>3.9902875702024722E-4</v>
      </c>
      <c r="H4">
        <v>77.290000000000006</v>
      </c>
      <c r="I4">
        <v>0.03</v>
      </c>
      <c r="J4" s="57">
        <f t="shared" si="3"/>
        <v>3.8814853150472245E-4</v>
      </c>
      <c r="K4">
        <v>21</v>
      </c>
      <c r="L4" s="61">
        <f t="shared" si="4"/>
        <v>3.6804761904761909</v>
      </c>
      <c r="M4" s="61">
        <f t="shared" si="5"/>
        <v>1.4285714285714286E-3</v>
      </c>
      <c r="N4">
        <f>N3/N2</f>
        <v>1.7456359102244388E-2</v>
      </c>
      <c r="O4">
        <f t="shared" si="6"/>
        <v>1.1630801196451065E-2</v>
      </c>
      <c r="P4">
        <f>SQRT($N$4*$N$4+G4*G4+4*J4*J4)</f>
        <v>1.747816735774883E-2</v>
      </c>
      <c r="Q4">
        <f t="shared" si="8"/>
        <v>2.0328508981627704E-4</v>
      </c>
      <c r="R4">
        <f t="shared" si="9"/>
        <v>3.7467550682578654</v>
      </c>
      <c r="S4">
        <v>3.82</v>
      </c>
      <c r="AD4">
        <v>0</v>
      </c>
    </row>
    <row r="5" spans="1:30" x14ac:dyDescent="0.25">
      <c r="A5" t="s">
        <v>24</v>
      </c>
      <c r="B5">
        <f>747.6</f>
        <v>747.6</v>
      </c>
      <c r="C5">
        <f t="shared" si="10"/>
        <v>1814.4</v>
      </c>
      <c r="D5">
        <v>0.3</v>
      </c>
      <c r="E5" s="60">
        <f t="shared" si="0"/>
        <v>0.85440037453175322</v>
      </c>
      <c r="F5" s="57">
        <f t="shared" si="1"/>
        <v>4.0128410914927769E-4</v>
      </c>
      <c r="G5" s="57">
        <f t="shared" si="2"/>
        <v>4.7089967732129252E-4</v>
      </c>
      <c r="H5">
        <v>86.85</v>
      </c>
      <c r="I5">
        <v>0.03</v>
      </c>
      <c r="J5" s="57">
        <f t="shared" si="3"/>
        <v>3.4542314335060447E-4</v>
      </c>
      <c r="K5">
        <v>21</v>
      </c>
      <c r="L5" s="61">
        <f t="shared" si="4"/>
        <v>4.1357142857142852</v>
      </c>
      <c r="M5" s="61">
        <f t="shared" si="5"/>
        <v>1.4285714285714284E-3</v>
      </c>
      <c r="O5">
        <f>$N$2*C5*L5*L5/1000</f>
        <v>1.2444529052571426E-2</v>
      </c>
      <c r="P5">
        <f t="shared" si="7"/>
        <v>1.7476369422865283E-2</v>
      </c>
      <c r="Q5">
        <f t="shared" si="8"/>
        <v>2.1748518701631794E-4</v>
      </c>
      <c r="R5">
        <f t="shared" si="9"/>
        <v>4.5604829243782259</v>
      </c>
      <c r="S5">
        <v>4.71</v>
      </c>
    </row>
    <row r="6" spans="1:30" x14ac:dyDescent="0.25">
      <c r="A6" t="s">
        <v>50</v>
      </c>
      <c r="B6">
        <v>1336.7</v>
      </c>
      <c r="C6">
        <f>B6+B$2</f>
        <v>2403.5</v>
      </c>
      <c r="D6">
        <v>0.3</v>
      </c>
      <c r="E6" s="60">
        <f t="shared" si="0"/>
        <v>0.85440037453175322</v>
      </c>
      <c r="F6" s="57">
        <f t="shared" si="1"/>
        <v>2.2443330590259594E-4</v>
      </c>
      <c r="G6" s="57">
        <f t="shared" si="2"/>
        <v>3.5548174517651478E-4</v>
      </c>
      <c r="H6">
        <v>125.52</v>
      </c>
      <c r="I6">
        <v>0.03</v>
      </c>
      <c r="J6" s="57">
        <f t="shared" si="3"/>
        <v>2.390057361376673E-4</v>
      </c>
      <c r="K6">
        <v>40</v>
      </c>
      <c r="L6" s="61">
        <f t="shared" si="4"/>
        <v>3.1379999999999999</v>
      </c>
      <c r="M6" s="61">
        <f t="shared" si="5"/>
        <v>7.4999999999999991E-4</v>
      </c>
      <c r="O6">
        <f t="shared" si="6"/>
        <v>9.4906154718539977E-3</v>
      </c>
      <c r="P6">
        <f t="shared" si="7"/>
        <v>1.7466520413215995E-2</v>
      </c>
      <c r="Q6">
        <f t="shared" si="8"/>
        <v>1.657680288731214E-4</v>
      </c>
      <c r="R6">
        <f t="shared" si="9"/>
        <v>1.6065693436607982</v>
      </c>
      <c r="S6">
        <v>1.41</v>
      </c>
    </row>
    <row r="7" spans="1:30" x14ac:dyDescent="0.25">
      <c r="A7" t="s">
        <v>25</v>
      </c>
      <c r="B7">
        <f>B6+B5</f>
        <v>2084.3000000000002</v>
      </c>
      <c r="C7">
        <f>B7+B$2</f>
        <v>3151.1000000000004</v>
      </c>
      <c r="D7">
        <v>0.3</v>
      </c>
      <c r="E7" s="60">
        <f>SQRT(D$2*D$2+D7*D7)</f>
        <v>0.85440037453175322</v>
      </c>
      <c r="F7" s="57">
        <f t="shared" si="1"/>
        <v>1.4393321498824545E-4</v>
      </c>
      <c r="G7" s="57">
        <f t="shared" si="2"/>
        <v>2.7114352909515826E-4</v>
      </c>
      <c r="H7">
        <v>66.599999999999994</v>
      </c>
      <c r="I7">
        <v>0.03</v>
      </c>
      <c r="J7" s="57">
        <f t="shared" si="3"/>
        <v>4.5045045045045046E-4</v>
      </c>
      <c r="K7">
        <v>20</v>
      </c>
      <c r="L7" s="61">
        <f t="shared" si="4"/>
        <v>3.3299999999999996</v>
      </c>
      <c r="M7" s="61">
        <f t="shared" si="5"/>
        <v>1.4999999999999998E-3</v>
      </c>
      <c r="O7">
        <f t="shared" si="6"/>
        <v>1.4011835348789997E-2</v>
      </c>
      <c r="P7">
        <f t="shared" si="7"/>
        <v>1.7481693692349282E-2</v>
      </c>
      <c r="Q7">
        <f t="shared" si="8"/>
        <v>2.4495061363517877E-4</v>
      </c>
      <c r="R7">
        <f t="shared" si="9"/>
        <v>6.1277892205967976</v>
      </c>
    </row>
    <row r="8" spans="1:3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30" x14ac:dyDescent="0.25">
      <c r="A9" s="12"/>
      <c r="B9" s="12"/>
      <c r="C9" s="12"/>
      <c r="D9" s="12"/>
      <c r="E9" s="12"/>
      <c r="F9" s="12"/>
      <c r="G9" s="12"/>
      <c r="H9" s="5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30" x14ac:dyDescent="0.25">
      <c r="A10" s="12"/>
      <c r="B10" s="12">
        <v>1066.8</v>
      </c>
      <c r="C10" s="12">
        <v>1066.8</v>
      </c>
      <c r="D10" s="12">
        <v>0.8</v>
      </c>
      <c r="E10" s="19">
        <v>0.8</v>
      </c>
      <c r="F10" s="59">
        <v>7.4990626171728538E-4</v>
      </c>
      <c r="G10" s="12">
        <v>85.86</v>
      </c>
      <c r="H10" s="59">
        <v>3.4940600978336826E-4</v>
      </c>
      <c r="I10" s="12">
        <v>20</v>
      </c>
      <c r="J10" s="59">
        <v>4.2930000000000001</v>
      </c>
      <c r="K10" s="59">
        <v>1.5E-3</v>
      </c>
      <c r="L10" s="59">
        <v>7.8840461281931996E-3</v>
      </c>
      <c r="M10" s="59">
        <v>1.37863806445327E-4</v>
      </c>
      <c r="N10" s="12"/>
    </row>
    <row r="11" spans="1:30" x14ac:dyDescent="0.25">
      <c r="A11" s="12"/>
      <c r="B11" s="12">
        <v>580.29999999999995</v>
      </c>
      <c r="C11" s="12">
        <v>1647.1</v>
      </c>
      <c r="D11" s="12">
        <v>0.3</v>
      </c>
      <c r="E11" s="19">
        <v>0.85440037453175322</v>
      </c>
      <c r="F11" s="59">
        <v>5.1873011628422879E-4</v>
      </c>
      <c r="G11" s="12">
        <v>78.150000000000006</v>
      </c>
      <c r="H11" s="59">
        <v>3.8387715930902108E-4</v>
      </c>
      <c r="I11" s="12">
        <v>20</v>
      </c>
      <c r="J11" s="59">
        <v>3.9075000000000002</v>
      </c>
      <c r="K11" s="59">
        <v>1.5E-3</v>
      </c>
      <c r="L11" s="59">
        <v>1.0084684438749375E-2</v>
      </c>
      <c r="M11" s="59">
        <v>1.7628968786073207E-4</v>
      </c>
      <c r="N11" s="19"/>
      <c r="P11" s="19">
        <v>2.200638310556176</v>
      </c>
      <c r="Q11" s="19">
        <v>2.11</v>
      </c>
    </row>
    <row r="12" spans="1:30" x14ac:dyDescent="0.25">
      <c r="A12" s="12"/>
      <c r="B12" s="12">
        <v>1074.4000000000001</v>
      </c>
      <c r="C12" s="12">
        <v>2141.1999999999998</v>
      </c>
      <c r="D12" s="12">
        <v>0.3</v>
      </c>
      <c r="E12" s="19">
        <v>0.85440037453175322</v>
      </c>
      <c r="F12" s="59">
        <v>3.9902875702024722E-4</v>
      </c>
      <c r="G12" s="12">
        <v>77.290000000000006</v>
      </c>
      <c r="H12" s="59">
        <v>3.8814853150472245E-4</v>
      </c>
      <c r="I12" s="12">
        <v>21</v>
      </c>
      <c r="J12" s="59">
        <v>3.6804761904761909</v>
      </c>
      <c r="K12" s="59">
        <v>1.4285714285714286E-3</v>
      </c>
      <c r="L12" s="59">
        <v>1.1630801196451065E-2</v>
      </c>
      <c r="M12" s="59">
        <v>2.0328508981627704E-4</v>
      </c>
      <c r="N12" s="19"/>
      <c r="P12" s="19">
        <v>3.7467550682578654</v>
      </c>
      <c r="Q12" s="19">
        <v>3.82</v>
      </c>
    </row>
    <row r="13" spans="1:30" x14ac:dyDescent="0.25">
      <c r="A13" s="12"/>
      <c r="B13" s="12">
        <v>747.6</v>
      </c>
      <c r="C13" s="12">
        <v>1814.4</v>
      </c>
      <c r="D13" s="12">
        <v>0.3</v>
      </c>
      <c r="E13" s="19">
        <v>0.85440037453175322</v>
      </c>
      <c r="F13" s="59">
        <v>4.7089967732129252E-4</v>
      </c>
      <c r="G13" s="12">
        <v>86.85</v>
      </c>
      <c r="H13" s="59">
        <v>3.4542314335060447E-4</v>
      </c>
      <c r="I13" s="12">
        <v>21</v>
      </c>
      <c r="J13" s="59">
        <v>4.1357142857142852</v>
      </c>
      <c r="K13" s="59">
        <v>1.4285714285714284E-3</v>
      </c>
      <c r="L13" s="59">
        <v>1.2444529052571426E-2</v>
      </c>
      <c r="M13" s="59">
        <v>2.1748518701631794E-4</v>
      </c>
      <c r="N13" s="19"/>
      <c r="P13" s="19">
        <v>4.5604829243782259</v>
      </c>
      <c r="Q13" s="19">
        <v>4.71</v>
      </c>
    </row>
    <row r="14" spans="1:30" x14ac:dyDescent="0.25">
      <c r="A14" s="12"/>
      <c r="B14" s="12">
        <v>1336.7</v>
      </c>
      <c r="C14" s="12">
        <v>2403.5</v>
      </c>
      <c r="D14" s="12">
        <v>0.3</v>
      </c>
      <c r="E14" s="19">
        <v>0.85440037453175322</v>
      </c>
      <c r="F14" s="59">
        <v>3.5548174517651478E-4</v>
      </c>
      <c r="G14" s="12">
        <v>125.52</v>
      </c>
      <c r="H14" s="59">
        <v>2.390057361376673E-4</v>
      </c>
      <c r="I14" s="12">
        <v>40</v>
      </c>
      <c r="J14" s="59">
        <v>3.1379999999999999</v>
      </c>
      <c r="K14" s="59">
        <v>7.4999999999999991E-4</v>
      </c>
      <c r="L14" s="59">
        <v>9.4906154718539977E-3</v>
      </c>
      <c r="M14" s="59">
        <v>1.657680288731214E-4</v>
      </c>
      <c r="N14" s="19"/>
      <c r="P14" s="19">
        <v>1.6065693436607982</v>
      </c>
      <c r="Q14" s="19">
        <v>1.41</v>
      </c>
    </row>
    <row r="15" spans="1:30" x14ac:dyDescent="0.25">
      <c r="A15" s="12"/>
      <c r="B15" s="12">
        <v>2084.3000000000002</v>
      </c>
      <c r="C15" s="12">
        <v>3151.1000000000004</v>
      </c>
      <c r="D15" s="12">
        <v>0.3</v>
      </c>
      <c r="E15" s="19">
        <v>0.85440037453175322</v>
      </c>
      <c r="F15" s="59">
        <v>2.7114352909515826E-4</v>
      </c>
      <c r="G15" s="12">
        <v>66.599999999999994</v>
      </c>
      <c r="H15" s="59">
        <v>4.5045045045045046E-4</v>
      </c>
      <c r="I15" s="12">
        <v>20</v>
      </c>
      <c r="J15" s="59">
        <v>3.3299999999999996</v>
      </c>
      <c r="K15" s="59">
        <v>1.4999999999999998E-3</v>
      </c>
      <c r="L15" s="59">
        <v>1.4011835348789997E-2</v>
      </c>
      <c r="M15" s="59">
        <v>2.4495061363517877E-4</v>
      </c>
      <c r="N15" s="12"/>
      <c r="P15" s="19">
        <v>6.1277892205967976</v>
      </c>
      <c r="Q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2025-10-09T10:38:38Z</dcterms:modified>
</cp:coreProperties>
</file>