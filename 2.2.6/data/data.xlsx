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Labs\2.2.6\data\"/>
    </mc:Choice>
  </mc:AlternateContent>
  <xr:revisionPtr revIDLastSave="0" documentId="13_ncr:1_{A15AFE28-E4E6-4689-8D9A-ABFDBB71A257}" xr6:coauthVersionLast="47" xr6:coauthVersionMax="47" xr10:uidLastSave="{00000000-0000-0000-0000-000000000000}"/>
  <bookViews>
    <workbookView xWindow="-120" yWindow="-120" windowWidth="20730" windowHeight="11160" firstSheet="1" activeTab="4" xr2:uid="{00000000-000D-0000-FFFF-FFFF00000000}"/>
  </bookViews>
  <sheets>
    <sheet name="Диаметры шариков" sheetId="1" r:id="rId1"/>
    <sheet name="Погрешности" sheetId="6" r:id="rId2"/>
    <sheet name="Внешние параметры" sheetId="3" r:id="rId3"/>
    <sheet name="Время падения" sheetId="4" r:id="rId4"/>
    <sheet name="Лист1" sheetId="7" r:id="rId5"/>
    <sheet name="Плотность жидкости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7" l="1"/>
  <c r="J18" i="7"/>
  <c r="J19" i="7"/>
  <c r="J20" i="7"/>
  <c r="J16" i="7"/>
  <c r="I20" i="7"/>
  <c r="I19" i="7"/>
  <c r="I18" i="7"/>
  <c r="I17" i="7"/>
  <c r="I16" i="7"/>
  <c r="H20" i="7"/>
  <c r="H19" i="7"/>
  <c r="H18" i="7"/>
  <c r="H17" i="7"/>
  <c r="H16" i="7"/>
  <c r="I2" i="7"/>
  <c r="J2" i="7"/>
  <c r="V2" i="7"/>
  <c r="V3" i="7"/>
  <c r="V4" i="7"/>
  <c r="V5" i="7"/>
  <c r="V6" i="7"/>
  <c r="V7" i="7"/>
  <c r="V8" i="7"/>
  <c r="V9" i="7"/>
  <c r="V10" i="7"/>
  <c r="V11" i="7"/>
  <c r="J3" i="7"/>
  <c r="J4" i="7"/>
  <c r="J5" i="7"/>
  <c r="J6" i="7"/>
  <c r="J7" i="7"/>
  <c r="J8" i="7"/>
  <c r="J9" i="7"/>
  <c r="J10" i="7"/>
  <c r="J11" i="7"/>
  <c r="U3" i="7"/>
  <c r="U4" i="7"/>
  <c r="U5" i="7"/>
  <c r="U6" i="7"/>
  <c r="U7" i="7"/>
  <c r="U8" i="7"/>
  <c r="U9" i="7"/>
  <c r="U10" i="7"/>
  <c r="U11" i="7"/>
  <c r="U2" i="7"/>
  <c r="I3" i="7"/>
  <c r="I4" i="7"/>
  <c r="I5" i="7"/>
  <c r="I6" i="7"/>
  <c r="I7" i="7"/>
  <c r="I8" i="7"/>
  <c r="I9" i="7"/>
  <c r="I10" i="7"/>
  <c r="I11" i="7"/>
  <c r="T3" i="7"/>
  <c r="T4" i="7"/>
  <c r="T5" i="7"/>
  <c r="T6" i="7"/>
  <c r="T7" i="7"/>
  <c r="T8" i="7"/>
  <c r="T9" i="7"/>
  <c r="T10" i="7"/>
  <c r="T11" i="7"/>
  <c r="T2" i="7"/>
  <c r="H3" i="7"/>
  <c r="H4" i="7"/>
  <c r="H5" i="7"/>
  <c r="H6" i="7"/>
  <c r="H7" i="7"/>
  <c r="H8" i="7"/>
  <c r="H9" i="7"/>
  <c r="H10" i="7"/>
  <c r="H11" i="7"/>
  <c r="H2" i="7"/>
  <c r="G2" i="7"/>
  <c r="R3" i="7"/>
  <c r="R4" i="7"/>
  <c r="R5" i="7"/>
  <c r="R6" i="7"/>
  <c r="R7" i="7"/>
  <c r="R8" i="7"/>
  <c r="R9" i="7"/>
  <c r="R10" i="7"/>
  <c r="R11" i="7"/>
  <c r="R2" i="7"/>
  <c r="G3" i="7"/>
  <c r="G4" i="7"/>
  <c r="G5" i="7"/>
  <c r="G6" i="7"/>
  <c r="G7" i="7"/>
  <c r="G8" i="7"/>
  <c r="G9" i="7"/>
  <c r="G10" i="7"/>
  <c r="G11" i="7"/>
  <c r="O3" i="7"/>
  <c r="P3" i="7" s="1"/>
  <c r="O4" i="7"/>
  <c r="P4" i="7" s="1"/>
  <c r="O5" i="7"/>
  <c r="P5" i="7" s="1"/>
  <c r="O6" i="7"/>
  <c r="P6" i="7" s="1"/>
  <c r="O7" i="7"/>
  <c r="P7" i="7" s="1"/>
  <c r="O8" i="7"/>
  <c r="P8" i="7" s="1"/>
  <c r="O9" i="7"/>
  <c r="P9" i="7" s="1"/>
  <c r="O10" i="7"/>
  <c r="P10" i="7" s="1"/>
  <c r="O11" i="7"/>
  <c r="P11" i="7" s="1"/>
  <c r="O2" i="7"/>
  <c r="P2" i="7" s="1"/>
  <c r="D3" i="7"/>
  <c r="E3" i="7" s="1"/>
  <c r="D4" i="7"/>
  <c r="E4" i="7" s="1"/>
  <c r="D5" i="7"/>
  <c r="E5" i="7" s="1"/>
  <c r="D6" i="7"/>
  <c r="E6" i="7" s="1"/>
  <c r="D7" i="7"/>
  <c r="E7" i="7" s="1"/>
  <c r="D8" i="7"/>
  <c r="E8" i="7" s="1"/>
  <c r="D9" i="7"/>
  <c r="E9" i="7" s="1"/>
  <c r="D10" i="7"/>
  <c r="E10" i="7" s="1"/>
  <c r="D11" i="7"/>
  <c r="E11" i="7" s="1"/>
  <c r="D2" i="7"/>
  <c r="E2" i="7" s="1"/>
  <c r="N30" i="4"/>
  <c r="O30" i="4"/>
  <c r="P30" i="4"/>
  <c r="Q30" i="4"/>
  <c r="N31" i="4"/>
  <c r="O31" i="4"/>
  <c r="P31" i="4"/>
  <c r="Q31" i="4"/>
  <c r="N32" i="4"/>
  <c r="O32" i="4"/>
  <c r="P32" i="4"/>
  <c r="Q32" i="4"/>
  <c r="N33" i="4"/>
  <c r="O33" i="4"/>
  <c r="P33" i="4"/>
  <c r="Q33" i="4"/>
  <c r="N34" i="4"/>
  <c r="O34" i="4"/>
  <c r="P34" i="4"/>
  <c r="Q34" i="4"/>
  <c r="N35" i="4"/>
  <c r="O35" i="4"/>
  <c r="P35" i="4"/>
  <c r="Q35" i="4"/>
  <c r="N36" i="4"/>
  <c r="O36" i="4"/>
  <c r="P36" i="4"/>
  <c r="Q36" i="4"/>
  <c r="N37" i="4"/>
  <c r="O37" i="4"/>
  <c r="P37" i="4"/>
  <c r="Q37" i="4"/>
  <c r="N38" i="4"/>
  <c r="O38" i="4"/>
  <c r="P38" i="4"/>
  <c r="Q38" i="4"/>
  <c r="O29" i="4"/>
  <c r="P29" i="4"/>
  <c r="Q29" i="4"/>
  <c r="N29" i="4"/>
  <c r="I38" i="4"/>
  <c r="M38" i="4" s="1"/>
  <c r="H38" i="4"/>
  <c r="L38" i="4" s="1"/>
  <c r="G38" i="4"/>
  <c r="K38" i="4" s="1"/>
  <c r="F38" i="4"/>
  <c r="J38" i="4" s="1"/>
  <c r="I37" i="4"/>
  <c r="M37" i="4" s="1"/>
  <c r="H37" i="4"/>
  <c r="L37" i="4" s="1"/>
  <c r="G37" i="4"/>
  <c r="K37" i="4" s="1"/>
  <c r="F37" i="4"/>
  <c r="J37" i="4" s="1"/>
  <c r="I36" i="4"/>
  <c r="M36" i="4" s="1"/>
  <c r="H36" i="4"/>
  <c r="L36" i="4" s="1"/>
  <c r="G36" i="4"/>
  <c r="K36" i="4" s="1"/>
  <c r="F36" i="4"/>
  <c r="J36" i="4" s="1"/>
  <c r="I35" i="4"/>
  <c r="M35" i="4" s="1"/>
  <c r="H35" i="4"/>
  <c r="L35" i="4" s="1"/>
  <c r="G35" i="4"/>
  <c r="K35" i="4" s="1"/>
  <c r="F35" i="4"/>
  <c r="J35" i="4" s="1"/>
  <c r="I34" i="4"/>
  <c r="M34" i="4" s="1"/>
  <c r="H34" i="4"/>
  <c r="L34" i="4" s="1"/>
  <c r="G34" i="4"/>
  <c r="K34" i="4" s="1"/>
  <c r="F34" i="4"/>
  <c r="J34" i="4" s="1"/>
  <c r="I33" i="4"/>
  <c r="M33" i="4" s="1"/>
  <c r="H33" i="4"/>
  <c r="L33" i="4" s="1"/>
  <c r="G33" i="4"/>
  <c r="K33" i="4" s="1"/>
  <c r="F33" i="4"/>
  <c r="J33" i="4" s="1"/>
  <c r="I32" i="4"/>
  <c r="M32" i="4" s="1"/>
  <c r="H32" i="4"/>
  <c r="L32" i="4" s="1"/>
  <c r="G32" i="4"/>
  <c r="K32" i="4" s="1"/>
  <c r="F32" i="4"/>
  <c r="J32" i="4" s="1"/>
  <c r="I31" i="4"/>
  <c r="M31" i="4" s="1"/>
  <c r="H31" i="4"/>
  <c r="L31" i="4" s="1"/>
  <c r="G31" i="4"/>
  <c r="K31" i="4" s="1"/>
  <c r="F31" i="4"/>
  <c r="J31" i="4" s="1"/>
  <c r="I30" i="4"/>
  <c r="M30" i="4" s="1"/>
  <c r="H30" i="4"/>
  <c r="L30" i="4" s="1"/>
  <c r="G30" i="4"/>
  <c r="K30" i="4" s="1"/>
  <c r="F30" i="4"/>
  <c r="J30" i="4" s="1"/>
  <c r="I29" i="4"/>
  <c r="M29" i="4" s="1"/>
  <c r="H29" i="4"/>
  <c r="L29" i="4" s="1"/>
  <c r="G29" i="4"/>
  <c r="K29" i="4" s="1"/>
  <c r="F29" i="4"/>
  <c r="J29" i="4" s="1"/>
  <c r="J4" i="4"/>
  <c r="J5" i="4" s="1"/>
  <c r="K4" i="4"/>
  <c r="K5" i="4" s="1"/>
  <c r="L4" i="4"/>
  <c r="L5" i="4" s="1"/>
  <c r="M4" i="4"/>
  <c r="M5" i="4" s="1"/>
  <c r="N4" i="4"/>
  <c r="N5" i="4" s="1"/>
  <c r="O4" i="4"/>
  <c r="O5" i="4" s="1"/>
  <c r="P4" i="4"/>
  <c r="P5" i="4" s="1"/>
  <c r="Q4" i="4"/>
  <c r="Q5" i="4" s="1"/>
  <c r="R4" i="4"/>
  <c r="R5" i="4" s="1"/>
  <c r="S4" i="4"/>
  <c r="S5" i="4" s="1"/>
  <c r="T4" i="4"/>
  <c r="T5" i="4" s="1"/>
  <c r="U4" i="4"/>
  <c r="U5" i="4" s="1"/>
  <c r="V4" i="4"/>
  <c r="V5" i="4" s="1"/>
  <c r="W4" i="4"/>
  <c r="W5" i="4" s="1"/>
  <c r="X4" i="4"/>
  <c r="X5" i="4" s="1"/>
  <c r="Y4" i="4"/>
  <c r="Y5" i="4" s="1"/>
  <c r="F3" i="4"/>
  <c r="G3" i="4"/>
  <c r="H3" i="4"/>
  <c r="I3" i="4"/>
  <c r="F11" i="4"/>
  <c r="G11" i="4"/>
  <c r="H11" i="4"/>
  <c r="I11" i="4"/>
  <c r="F12" i="4"/>
  <c r="G12" i="4"/>
  <c r="H12" i="4"/>
  <c r="I12" i="4"/>
  <c r="F13" i="4"/>
  <c r="G13" i="4"/>
  <c r="H13" i="4"/>
  <c r="I13" i="4"/>
  <c r="F14" i="4"/>
  <c r="G14" i="4"/>
  <c r="H14" i="4"/>
  <c r="I14" i="4"/>
  <c r="F15" i="4"/>
  <c r="G15" i="4"/>
  <c r="H15" i="4"/>
  <c r="I15" i="4"/>
  <c r="F16" i="4"/>
  <c r="G16" i="4"/>
  <c r="H16" i="4"/>
  <c r="I16" i="4"/>
  <c r="F17" i="4"/>
  <c r="G17" i="4"/>
  <c r="H17" i="4"/>
  <c r="I17" i="4"/>
  <c r="F18" i="4"/>
  <c r="G18" i="4"/>
  <c r="H18" i="4"/>
  <c r="I18" i="4"/>
  <c r="G2" i="4"/>
  <c r="G4" i="4" s="1"/>
  <c r="G5" i="4" s="1"/>
  <c r="H2" i="4"/>
  <c r="H4" i="4" s="1"/>
  <c r="H5" i="4" s="1"/>
  <c r="I2" i="4"/>
  <c r="I4" i="4" s="1"/>
  <c r="I5" i="4" s="1"/>
  <c r="F2" i="4"/>
  <c r="F4" i="4" s="1"/>
  <c r="F5" i="4" s="1"/>
  <c r="E6" i="5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A5" i="1"/>
  <c r="K11" i="7" l="1"/>
  <c r="K10" i="7"/>
  <c r="K9" i="7"/>
  <c r="K8" i="7"/>
  <c r="K7" i="7"/>
  <c r="K6" i="7"/>
  <c r="K5" i="7"/>
  <c r="K4" i="7"/>
  <c r="K3" i="7"/>
  <c r="S2" i="7"/>
  <c r="S11" i="7"/>
  <c r="S10" i="7"/>
  <c r="S9" i="7"/>
  <c r="S8" i="7"/>
  <c r="S7" i="7"/>
  <c r="S6" i="7"/>
  <c r="S5" i="7"/>
  <c r="S4" i="7"/>
  <c r="S3" i="7"/>
  <c r="A8" i="1"/>
  <c r="A7" i="1"/>
  <c r="A6" i="1"/>
  <c r="A9" i="1" s="1"/>
  <c r="A10" i="1" s="1"/>
  <c r="A11" i="1" s="1"/>
  <c r="T6" i="1"/>
  <c r="T7" i="1"/>
  <c r="T8" i="1"/>
  <c r="S6" i="1"/>
  <c r="S7" i="1"/>
  <c r="S8" i="1"/>
  <c r="R6" i="1"/>
  <c r="R7" i="1"/>
  <c r="R8" i="1"/>
  <c r="Q6" i="1"/>
  <c r="Q7" i="1"/>
  <c r="Q8" i="1"/>
  <c r="P6" i="1"/>
  <c r="P7" i="1"/>
  <c r="P8" i="1"/>
  <c r="O6" i="1"/>
  <c r="O7" i="1"/>
  <c r="O8" i="1"/>
  <c r="N6" i="1"/>
  <c r="N7" i="1"/>
  <c r="N8" i="1"/>
  <c r="M6" i="1"/>
  <c r="M7" i="1"/>
  <c r="M8" i="1"/>
  <c r="L6" i="1"/>
  <c r="L7" i="1"/>
  <c r="L8" i="1"/>
  <c r="K6" i="1"/>
  <c r="K7" i="1"/>
  <c r="K8" i="1"/>
  <c r="J6" i="1"/>
  <c r="J7" i="1"/>
  <c r="J8" i="1"/>
  <c r="I6" i="1"/>
  <c r="I7" i="1"/>
  <c r="I8" i="1"/>
  <c r="H6" i="1"/>
  <c r="H7" i="1"/>
  <c r="H8" i="1"/>
  <c r="G6" i="1"/>
  <c r="G7" i="1"/>
  <c r="G8" i="1"/>
  <c r="F6" i="1"/>
  <c r="F7" i="1"/>
  <c r="F8" i="1"/>
  <c r="E6" i="1"/>
  <c r="E7" i="1"/>
  <c r="E8" i="1"/>
  <c r="D6" i="1"/>
  <c r="D7" i="1"/>
  <c r="D8" i="1"/>
  <c r="C6" i="1"/>
  <c r="C7" i="1"/>
  <c r="C8" i="1"/>
  <c r="B6" i="1"/>
  <c r="B7" i="1"/>
  <c r="B8" i="1"/>
  <c r="B9" i="1" l="1"/>
  <c r="B10" i="1" s="1"/>
  <c r="B11" i="1" s="1"/>
  <c r="C9" i="1"/>
  <c r="C10" i="1" s="1"/>
  <c r="C11" i="1" s="1"/>
  <c r="D9" i="1"/>
  <c r="D10" i="1" s="1"/>
  <c r="D11" i="1" s="1"/>
  <c r="E9" i="1"/>
  <c r="E10" i="1" s="1"/>
  <c r="E11" i="1" s="1"/>
  <c r="F9" i="1"/>
  <c r="F10" i="1" s="1"/>
  <c r="F11" i="1" s="1"/>
  <c r="G9" i="1"/>
  <c r="G10" i="1" s="1"/>
  <c r="G11" i="1" s="1"/>
  <c r="H9" i="1"/>
  <c r="H10" i="1" s="1"/>
  <c r="H11" i="1" s="1"/>
  <c r="I9" i="1"/>
  <c r="I10" i="1" s="1"/>
  <c r="I11" i="1" s="1"/>
  <c r="J9" i="1"/>
  <c r="J10" i="1" s="1"/>
  <c r="J11" i="1" s="1"/>
  <c r="K9" i="1"/>
  <c r="K10" i="1" s="1"/>
  <c r="K11" i="1" s="1"/>
  <c r="L9" i="1"/>
  <c r="L10" i="1" s="1"/>
  <c r="L11" i="1" s="1"/>
  <c r="M9" i="1"/>
  <c r="M10" i="1" s="1"/>
  <c r="M11" i="1" s="1"/>
  <c r="N9" i="1"/>
  <c r="N10" i="1" s="1"/>
  <c r="N11" i="1" s="1"/>
  <c r="O9" i="1"/>
  <c r="O10" i="1" s="1"/>
  <c r="O11" i="1" s="1"/>
  <c r="P9" i="1"/>
  <c r="P10" i="1" s="1"/>
  <c r="P11" i="1" s="1"/>
  <c r="Q9" i="1"/>
  <c r="Q10" i="1" s="1"/>
  <c r="Q11" i="1" s="1"/>
  <c r="R9" i="1"/>
  <c r="R10" i="1" s="1"/>
  <c r="R11" i="1" s="1"/>
  <c r="S9" i="1"/>
  <c r="S10" i="1" s="1"/>
  <c r="S11" i="1" s="1"/>
  <c r="T9" i="1"/>
  <c r="T10" i="1" s="1"/>
  <c r="T11" i="1" s="1"/>
</calcChain>
</file>

<file path=xl/sharedStrings.xml><?xml version="1.0" encoding="utf-8"?>
<sst xmlns="http://schemas.openxmlformats.org/spreadsheetml/2006/main" count="63" uniqueCount="46">
  <si>
    <t>Комнатная температура</t>
  </si>
  <si>
    <t>Влажность воздуха</t>
  </si>
  <si>
    <t>Высота падения</t>
  </si>
  <si>
    <t>Диаметр сосуда</t>
  </si>
  <si>
    <t>Длина сосуда</t>
  </si>
  <si>
    <t>t</t>
  </si>
  <si>
    <t>tg:</t>
  </si>
  <si>
    <t>t0:</t>
  </si>
  <si>
    <t>ro0:</t>
  </si>
  <si>
    <t>t:</t>
  </si>
  <si>
    <t>ro:</t>
  </si>
  <si>
    <t>&lt; введи температуру</t>
  </si>
  <si>
    <t>Расчёт по графику из лабника</t>
  </si>
  <si>
    <t>&lt; получи ответ</t>
  </si>
  <si>
    <t>t, С</t>
  </si>
  <si>
    <t>ro, г/см3</t>
  </si>
  <si>
    <t>Линейки</t>
  </si>
  <si>
    <t>Секундомера</t>
  </si>
  <si>
    <t>Термометра</t>
  </si>
  <si>
    <t>Компаратора</t>
  </si>
  <si>
    <t>Микроскопа</t>
  </si>
  <si>
    <t>±</t>
  </si>
  <si>
    <t>ед.</t>
  </si>
  <si>
    <t>Среднее</t>
  </si>
  <si>
    <t>Станд. Откл.</t>
  </si>
  <si>
    <t>мм/с</t>
  </si>
  <si>
    <t>мм</t>
  </si>
  <si>
    <t>г/см3</t>
  </si>
  <si>
    <t>ро - ро</t>
  </si>
  <si>
    <t>эта</t>
  </si>
  <si>
    <t>отн d</t>
  </si>
  <si>
    <t>отн эта</t>
  </si>
  <si>
    <t>Стекло</t>
  </si>
  <si>
    <t>Сталь</t>
  </si>
  <si>
    <t>сигма</t>
  </si>
  <si>
    <t>Температура</t>
  </si>
  <si>
    <t>Эта</t>
  </si>
  <si>
    <t>0,98 0,05</t>
  </si>
  <si>
    <t>0,44 0,02</t>
  </si>
  <si>
    <t>0,205 0,008</t>
  </si>
  <si>
    <t>0,119 0,005</t>
  </si>
  <si>
    <t>0,075 0,003</t>
  </si>
  <si>
    <t>Re</t>
  </si>
  <si>
    <t>тау</t>
  </si>
  <si>
    <t>т</t>
  </si>
  <si>
    <t>эс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</si>
</sst>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"/>
    <numFmt numFmtId="169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right"/>
    </xf>
    <xf numFmtId="2" fontId="0" fillId="0" borderId="5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2" fontId="0" fillId="0" borderId="5" xfId="0" applyNumberFormat="1" applyBorder="1"/>
    <xf numFmtId="164" fontId="0" fillId="0" borderId="5" xfId="0" applyNumberFormat="1" applyBorder="1"/>
    <xf numFmtId="0" fontId="1" fillId="0" borderId="4" xfId="0" applyFont="1" applyBorder="1" applyAlignment="1">
      <alignment horizontal="center" vertical="center"/>
    </xf>
    <xf numFmtId="2" fontId="0" fillId="0" borderId="3" xfId="0" applyNumberFormat="1" applyBorder="1"/>
    <xf numFmtId="2" fontId="0" fillId="0" borderId="0" xfId="0" applyNumberFormat="1" applyFill="1" applyBorder="1"/>
    <xf numFmtId="164" fontId="0" fillId="0" borderId="0" xfId="0" applyNumberFormat="1" applyFill="1" applyBorder="1"/>
    <xf numFmtId="2" fontId="1" fillId="0" borderId="5" xfId="0" applyNumberFormat="1" applyFont="1" applyBorder="1"/>
    <xf numFmtId="169" fontId="0" fillId="0" borderId="0" xfId="0" applyNumberFormat="1"/>
    <xf numFmtId="0" fontId="0" fillId="0" borderId="5" xfId="0" applyBorder="1" applyAlignment="1">
      <alignment horizontal="center"/>
    </xf>
    <xf numFmtId="166" fontId="0" fillId="0" borderId="5" xfId="0" applyNumberFormat="1" applyBorder="1"/>
    <xf numFmtId="169" fontId="0" fillId="0" borderId="5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topLeftCell="B13" workbookViewId="0">
      <selection activeCell="C15" sqref="C15:C24"/>
    </sheetView>
  </sheetViews>
  <sheetFormatPr defaultRowHeight="15" x14ac:dyDescent="0.25"/>
  <cols>
    <col min="1" max="20" width="9.5703125" bestFit="1" customWidth="1"/>
  </cols>
  <sheetData>
    <row r="1" spans="1:21" s="16" customFormat="1" ht="14.25" x14ac:dyDescent="0.2">
      <c r="A1" s="17">
        <v>1</v>
      </c>
      <c r="B1" s="17">
        <v>2</v>
      </c>
      <c r="C1" s="17">
        <v>3</v>
      </c>
      <c r="D1" s="17">
        <v>4</v>
      </c>
      <c r="E1" s="17">
        <v>5</v>
      </c>
      <c r="F1" s="17">
        <v>6</v>
      </c>
      <c r="G1" s="17">
        <v>7</v>
      </c>
      <c r="H1" s="17">
        <v>8</v>
      </c>
      <c r="I1" s="17">
        <v>9</v>
      </c>
      <c r="J1" s="17">
        <v>10</v>
      </c>
      <c r="K1" s="17">
        <v>11</v>
      </c>
      <c r="L1" s="17">
        <v>12</v>
      </c>
      <c r="M1" s="17">
        <v>13</v>
      </c>
      <c r="N1" s="17">
        <v>14</v>
      </c>
      <c r="O1" s="17">
        <v>15</v>
      </c>
      <c r="P1" s="17">
        <v>16</v>
      </c>
      <c r="Q1" s="17">
        <v>17</v>
      </c>
      <c r="R1" s="17">
        <v>18</v>
      </c>
      <c r="S1" s="17">
        <v>19</v>
      </c>
      <c r="T1" s="17">
        <v>20</v>
      </c>
    </row>
    <row r="2" spans="1:21" x14ac:dyDescent="0.25">
      <c r="A2" s="20">
        <v>2.02</v>
      </c>
      <c r="B2" s="18">
        <v>2.08</v>
      </c>
      <c r="C2" s="18">
        <v>0.86</v>
      </c>
      <c r="D2" s="18">
        <v>0.92</v>
      </c>
      <c r="E2" s="18">
        <v>2.08</v>
      </c>
      <c r="F2" s="18">
        <v>2.04</v>
      </c>
      <c r="G2" s="18">
        <v>0.7</v>
      </c>
      <c r="H2" s="18">
        <v>0.9</v>
      </c>
      <c r="I2" s="18">
        <v>2.1</v>
      </c>
      <c r="J2" s="18">
        <v>2.1</v>
      </c>
      <c r="K2" s="18">
        <v>0.94</v>
      </c>
      <c r="L2" s="18">
        <v>0.88</v>
      </c>
      <c r="M2" s="18">
        <v>2.06</v>
      </c>
      <c r="N2" s="18">
        <v>2.1</v>
      </c>
      <c r="O2" s="18">
        <v>0.92</v>
      </c>
      <c r="P2" s="18">
        <v>0.94</v>
      </c>
      <c r="Q2" s="18">
        <v>2.12</v>
      </c>
      <c r="R2" s="18">
        <v>2.08</v>
      </c>
      <c r="S2" s="18">
        <v>0.88</v>
      </c>
      <c r="T2" s="18">
        <v>0.84</v>
      </c>
    </row>
    <row r="3" spans="1:21" x14ac:dyDescent="0.25">
      <c r="A3" s="20">
        <v>2.1</v>
      </c>
      <c r="B3" s="18">
        <v>2.1</v>
      </c>
      <c r="C3" s="18">
        <v>0.82</v>
      </c>
      <c r="D3" s="18">
        <v>0.96</v>
      </c>
      <c r="E3" s="18">
        <v>2.06</v>
      </c>
      <c r="F3" s="18">
        <v>2.1</v>
      </c>
      <c r="G3" s="18">
        <v>0.72</v>
      </c>
      <c r="H3" s="18">
        <v>0.92</v>
      </c>
      <c r="I3" s="18">
        <v>2.06</v>
      </c>
      <c r="J3" s="18">
        <v>2.04</v>
      </c>
      <c r="K3" s="18">
        <v>0.94</v>
      </c>
      <c r="L3" s="18">
        <v>0.9</v>
      </c>
      <c r="M3" s="18">
        <v>2.12</v>
      </c>
      <c r="N3" s="18">
        <v>2.08</v>
      </c>
      <c r="O3" s="18">
        <v>0.94</v>
      </c>
      <c r="P3" s="18">
        <v>0.92</v>
      </c>
      <c r="Q3" s="18">
        <v>2.08</v>
      </c>
      <c r="R3" s="18">
        <v>2.1</v>
      </c>
      <c r="S3" s="18">
        <v>0.9</v>
      </c>
      <c r="T3" s="18">
        <v>0.82</v>
      </c>
    </row>
    <row r="4" spans="1:21" x14ac:dyDescent="0.25">
      <c r="A4" s="20">
        <v>2.1</v>
      </c>
      <c r="B4" s="18">
        <v>2.06</v>
      </c>
      <c r="C4" s="18">
        <v>0.84</v>
      </c>
      <c r="D4" s="18">
        <v>0.92</v>
      </c>
      <c r="E4" s="18">
        <v>2.08</v>
      </c>
      <c r="F4" s="18">
        <v>2.06</v>
      </c>
      <c r="G4" s="18">
        <v>0.68</v>
      </c>
      <c r="H4" s="18">
        <v>0.92</v>
      </c>
      <c r="I4" s="18">
        <v>2.08</v>
      </c>
      <c r="J4" s="18">
        <v>2.1</v>
      </c>
      <c r="K4" s="18">
        <v>0.92</v>
      </c>
      <c r="L4" s="18">
        <v>0.92</v>
      </c>
      <c r="M4" s="18">
        <v>2.1</v>
      </c>
      <c r="N4" s="18">
        <v>2.12</v>
      </c>
      <c r="O4" s="18">
        <v>0.91</v>
      </c>
      <c r="P4" s="18">
        <v>0.96</v>
      </c>
      <c r="Q4" s="18">
        <v>2.06</v>
      </c>
      <c r="R4" s="18">
        <v>2.08</v>
      </c>
      <c r="S4" s="18">
        <v>0.9</v>
      </c>
      <c r="T4" s="18">
        <v>0.86</v>
      </c>
    </row>
    <row r="5" spans="1:21" s="1" customFormat="1" x14ac:dyDescent="0.25">
      <c r="A5" s="20">
        <f>AVERAGE(A2:A4)</f>
        <v>2.0733333333333337</v>
      </c>
      <c r="B5" s="20">
        <f>AVERAGE(B2:B4)</f>
        <v>2.08</v>
      </c>
      <c r="C5" s="20">
        <f>AVERAGE(C2:C4)</f>
        <v>0.84</v>
      </c>
      <c r="D5" s="20">
        <f>AVERAGE(D2:D4)</f>
        <v>0.93333333333333324</v>
      </c>
      <c r="E5" s="20">
        <f>AVERAGE(E2:E4)</f>
        <v>2.0733333333333337</v>
      </c>
      <c r="F5" s="20">
        <f>AVERAGE(F2:F4)</f>
        <v>2.0666666666666669</v>
      </c>
      <c r="G5" s="20">
        <f>AVERAGE(G2:G4)</f>
        <v>0.70000000000000007</v>
      </c>
      <c r="H5" s="20">
        <f>AVERAGE(H2:H4)</f>
        <v>0.91333333333333344</v>
      </c>
      <c r="I5" s="20">
        <f>AVERAGE(I2:I4)</f>
        <v>2.08</v>
      </c>
      <c r="J5" s="20">
        <f>AVERAGE(J2:J4)</f>
        <v>2.08</v>
      </c>
      <c r="K5" s="20">
        <f>AVERAGE(K2:K4)</f>
        <v>0.93333333333333324</v>
      </c>
      <c r="L5" s="20">
        <f>AVERAGE(L2:L4)</f>
        <v>0.9</v>
      </c>
      <c r="M5" s="20">
        <f>AVERAGE(M2:M4)</f>
        <v>2.0933333333333333</v>
      </c>
      <c r="N5" s="20">
        <f>AVERAGE(N2:N4)</f>
        <v>2.1</v>
      </c>
      <c r="O5" s="20">
        <f>AVERAGE(O2:O4)</f>
        <v>0.92333333333333334</v>
      </c>
      <c r="P5" s="20">
        <f>AVERAGE(P2:P4)</f>
        <v>0.94</v>
      </c>
      <c r="Q5" s="20">
        <f>AVERAGE(Q2:Q4)</f>
        <v>2.0866666666666664</v>
      </c>
      <c r="R5" s="20">
        <f>AVERAGE(R2:R4)</f>
        <v>2.0866666666666664</v>
      </c>
      <c r="S5" s="20">
        <f>AVERAGE(S2:S4)</f>
        <v>0.89333333333333342</v>
      </c>
      <c r="T5" s="20">
        <f>AVERAGE(T2:T4)</f>
        <v>0.84</v>
      </c>
      <c r="U5" s="1" t="s">
        <v>23</v>
      </c>
    </row>
    <row r="6" spans="1:21" x14ac:dyDescent="0.25">
      <c r="A6">
        <f>(A2-A$5)*(A2-A$5)</f>
        <v>2.844444444444481E-3</v>
      </c>
      <c r="B6">
        <f t="shared" ref="B6:T7" si="0">(B2-B$5)*(B2-B$5)</f>
        <v>0</v>
      </c>
      <c r="C6">
        <f t="shared" si="0"/>
        <v>4.0000000000000072E-4</v>
      </c>
      <c r="D6">
        <f t="shared" si="0"/>
        <v>1.7777777777777415E-4</v>
      </c>
      <c r="E6">
        <f t="shared" si="0"/>
        <v>4.4444444444440577E-5</v>
      </c>
      <c r="F6">
        <f t="shared" si="0"/>
        <v>7.1111111111112025E-4</v>
      </c>
      <c r="G6">
        <f t="shared" si="0"/>
        <v>1.2325951644078309E-32</v>
      </c>
      <c r="H6">
        <f t="shared" si="0"/>
        <v>1.7777777777778006E-4</v>
      </c>
      <c r="I6">
        <f t="shared" si="0"/>
        <v>4.0000000000000072E-4</v>
      </c>
      <c r="J6">
        <f t="shared" si="0"/>
        <v>4.0000000000000072E-4</v>
      </c>
      <c r="K6">
        <f t="shared" si="0"/>
        <v>4.4444444444445016E-5</v>
      </c>
      <c r="L6">
        <f t="shared" si="0"/>
        <v>4.0000000000000072E-4</v>
      </c>
      <c r="M6">
        <f t="shared" si="0"/>
        <v>1.1111111111111033E-3</v>
      </c>
      <c r="N6">
        <f t="shared" si="0"/>
        <v>0</v>
      </c>
      <c r="O6">
        <f t="shared" si="0"/>
        <v>1.1111111111110885E-5</v>
      </c>
      <c r="P6">
        <f t="shared" si="0"/>
        <v>0</v>
      </c>
      <c r="Q6">
        <f t="shared" si="0"/>
        <v>1.1111111111111328E-3</v>
      </c>
      <c r="R6">
        <f t="shared" si="0"/>
        <v>4.4444444444440577E-5</v>
      </c>
      <c r="S6">
        <f t="shared" si="0"/>
        <v>1.7777777777778006E-4</v>
      </c>
      <c r="T6">
        <f t="shared" si="0"/>
        <v>0</v>
      </c>
    </row>
    <row r="7" spans="1:21" x14ac:dyDescent="0.25">
      <c r="A7">
        <f t="shared" ref="A7:P8" si="1">(A3-A$5)*(A3-A$5)</f>
        <v>7.1111111111109662E-4</v>
      </c>
      <c r="B7">
        <f t="shared" si="1"/>
        <v>4.0000000000000072E-4</v>
      </c>
      <c r="C7">
        <f t="shared" si="1"/>
        <v>4.0000000000000072E-4</v>
      </c>
      <c r="D7">
        <f t="shared" si="1"/>
        <v>7.111111111111144E-4</v>
      </c>
      <c r="E7">
        <f t="shared" si="1"/>
        <v>1.77777777777786E-4</v>
      </c>
      <c r="F7">
        <f t="shared" si="1"/>
        <v>1.1111111111111033E-3</v>
      </c>
      <c r="G7">
        <f t="shared" si="1"/>
        <v>3.9999999999999628E-4</v>
      </c>
      <c r="H7">
        <f t="shared" si="1"/>
        <v>4.4444444444443539E-5</v>
      </c>
      <c r="I7">
        <f t="shared" si="1"/>
        <v>4.0000000000000072E-4</v>
      </c>
      <c r="J7">
        <f t="shared" si="1"/>
        <v>1.6000000000000029E-3</v>
      </c>
      <c r="K7">
        <f t="shared" si="1"/>
        <v>4.4444444444445016E-5</v>
      </c>
      <c r="L7">
        <f t="shared" si="1"/>
        <v>0</v>
      </c>
      <c r="M7">
        <f t="shared" si="1"/>
        <v>7.1111111111112025E-4</v>
      </c>
      <c r="N7">
        <f t="shared" si="1"/>
        <v>4.0000000000000072E-4</v>
      </c>
      <c r="O7">
        <f t="shared" si="1"/>
        <v>2.7777777777777583E-4</v>
      </c>
      <c r="P7">
        <f t="shared" si="1"/>
        <v>3.9999999999999628E-4</v>
      </c>
      <c r="Q7">
        <f t="shared" si="0"/>
        <v>4.4444444444440577E-5</v>
      </c>
      <c r="R7">
        <f t="shared" si="0"/>
        <v>1.77777777777786E-4</v>
      </c>
      <c r="S7">
        <f t="shared" si="0"/>
        <v>4.4444444444443539E-5</v>
      </c>
      <c r="T7">
        <f t="shared" si="0"/>
        <v>4.0000000000000072E-4</v>
      </c>
    </row>
    <row r="8" spans="1:21" x14ac:dyDescent="0.25">
      <c r="A8">
        <f>(A4-A$5)*(A4-A$5)</f>
        <v>7.1111111111109662E-4</v>
      </c>
      <c r="B8">
        <f t="shared" ref="B8:T8" si="2">(B4-B$5)*(B4-B$5)</f>
        <v>4.0000000000000072E-4</v>
      </c>
      <c r="C8">
        <f t="shared" si="2"/>
        <v>0</v>
      </c>
      <c r="D8">
        <f t="shared" si="2"/>
        <v>1.7777777777777415E-4</v>
      </c>
      <c r="E8">
        <f t="shared" si="2"/>
        <v>4.4444444444440577E-5</v>
      </c>
      <c r="F8">
        <f t="shared" si="2"/>
        <v>4.44444444444465E-5</v>
      </c>
      <c r="G8">
        <f t="shared" si="2"/>
        <v>4.0000000000000072E-4</v>
      </c>
      <c r="H8">
        <f t="shared" si="2"/>
        <v>4.4444444444443539E-5</v>
      </c>
      <c r="I8">
        <f t="shared" si="2"/>
        <v>0</v>
      </c>
      <c r="J8">
        <f t="shared" si="2"/>
        <v>4.0000000000000072E-4</v>
      </c>
      <c r="K8">
        <f t="shared" si="2"/>
        <v>1.7777777777777415E-4</v>
      </c>
      <c r="L8">
        <f t="shared" si="2"/>
        <v>4.0000000000000072E-4</v>
      </c>
      <c r="M8">
        <f t="shared" si="2"/>
        <v>4.44444444444465E-5</v>
      </c>
      <c r="N8">
        <f t="shared" si="2"/>
        <v>4.0000000000000072E-4</v>
      </c>
      <c r="O8">
        <f t="shared" si="2"/>
        <v>1.7777777777777711E-4</v>
      </c>
      <c r="P8">
        <f t="shared" si="2"/>
        <v>4.0000000000000072E-4</v>
      </c>
      <c r="Q8">
        <f t="shared" si="2"/>
        <v>7.1111111111109662E-4</v>
      </c>
      <c r="R8">
        <f t="shared" si="2"/>
        <v>4.4444444444440577E-5</v>
      </c>
      <c r="S8">
        <f t="shared" si="2"/>
        <v>4.4444444444443539E-5</v>
      </c>
      <c r="T8">
        <f t="shared" si="2"/>
        <v>4.0000000000000072E-4</v>
      </c>
    </row>
    <row r="9" spans="1:21" s="12" customFormat="1" x14ac:dyDescent="0.25">
      <c r="A9" s="21">
        <f>SQRT(AVERAGE(A6:A8))</f>
        <v>3.7712361663282568E-2</v>
      </c>
      <c r="B9" s="19">
        <f>SQRT(AVERAGE(B6:B8))</f>
        <v>1.6329931618554536E-2</v>
      </c>
      <c r="C9" s="19">
        <f t="shared" ref="C9:T9" si="3">SQRT(AVERAGE(C6:C8))</f>
        <v>1.6329931618554536E-2</v>
      </c>
      <c r="D9" s="19">
        <f t="shared" si="3"/>
        <v>1.8856180831641232E-2</v>
      </c>
      <c r="E9" s="19">
        <f t="shared" si="3"/>
        <v>9.4280904158206419E-3</v>
      </c>
      <c r="F9" s="19">
        <f t="shared" si="3"/>
        <v>2.4944382578492966E-2</v>
      </c>
      <c r="G9" s="19">
        <f t="shared" si="3"/>
        <v>1.6329931618554488E-2</v>
      </c>
      <c r="H9" s="19">
        <f t="shared" si="3"/>
        <v>9.4280904158206419E-3</v>
      </c>
      <c r="I9" s="19">
        <f t="shared" si="3"/>
        <v>1.6329931618554536E-2</v>
      </c>
      <c r="J9" s="19">
        <f t="shared" si="3"/>
        <v>2.8284271247461926E-2</v>
      </c>
      <c r="K9" s="19">
        <f t="shared" si="3"/>
        <v>9.4280904158205898E-3</v>
      </c>
      <c r="L9" s="19">
        <f t="shared" si="3"/>
        <v>1.6329931618554536E-2</v>
      </c>
      <c r="M9" s="19">
        <f t="shared" si="3"/>
        <v>2.4944382578492966E-2</v>
      </c>
      <c r="N9" s="19">
        <f t="shared" si="3"/>
        <v>1.6329931618554536E-2</v>
      </c>
      <c r="O9" s="19">
        <f t="shared" si="3"/>
        <v>1.2472191289246433E-2</v>
      </c>
      <c r="P9" s="19">
        <f t="shared" si="3"/>
        <v>1.6329931618554488E-2</v>
      </c>
      <c r="Q9" s="19">
        <f t="shared" si="3"/>
        <v>2.4944382578492966E-2</v>
      </c>
      <c r="R9" s="19">
        <f t="shared" si="3"/>
        <v>9.4280904158206419E-3</v>
      </c>
      <c r="S9" s="19">
        <f t="shared" si="3"/>
        <v>9.4280904158206419E-3</v>
      </c>
      <c r="T9" s="19">
        <f t="shared" si="3"/>
        <v>1.6329931618554536E-2</v>
      </c>
      <c r="U9" s="12" t="s">
        <v>24</v>
      </c>
    </row>
    <row r="10" spans="1:21" x14ac:dyDescent="0.25">
      <c r="A10" s="13">
        <f>SQRT(A9*A9 + 0.02*0.02)</f>
        <v>4.2687494916219017E-2</v>
      </c>
      <c r="B10" s="13">
        <f t="shared" ref="B10:T10" si="4">SQRT(B9*B9 + 0.02*0.02)</f>
        <v>2.5819888974716123E-2</v>
      </c>
      <c r="C10" s="13">
        <f t="shared" si="4"/>
        <v>2.5819888974716123E-2</v>
      </c>
      <c r="D10" s="13">
        <f t="shared" si="4"/>
        <v>2.7487370837451047E-2</v>
      </c>
      <c r="E10" s="13">
        <f t="shared" si="4"/>
        <v>2.2110831935702669E-2</v>
      </c>
      <c r="F10" s="13">
        <f t="shared" si="4"/>
        <v>3.1972210155418151E-2</v>
      </c>
      <c r="G10" s="13">
        <f t="shared" si="4"/>
        <v>2.5819888974716092E-2</v>
      </c>
      <c r="H10" s="13">
        <f t="shared" si="4"/>
        <v>2.2110831935702669E-2</v>
      </c>
      <c r="I10" s="13">
        <f t="shared" si="4"/>
        <v>2.5819888974716123E-2</v>
      </c>
      <c r="J10" s="13">
        <f t="shared" si="4"/>
        <v>3.4641016151377567E-2</v>
      </c>
      <c r="K10" s="13">
        <f t="shared" si="4"/>
        <v>2.2110831935702648E-2</v>
      </c>
      <c r="L10" s="13">
        <f t="shared" si="4"/>
        <v>2.5819888974716123E-2</v>
      </c>
      <c r="M10" s="13">
        <f t="shared" si="4"/>
        <v>3.1972210155418151E-2</v>
      </c>
      <c r="N10" s="13">
        <f t="shared" si="4"/>
        <v>2.5819888974716123E-2</v>
      </c>
      <c r="O10" s="13">
        <f t="shared" si="4"/>
        <v>2.3570226039551563E-2</v>
      </c>
      <c r="P10" s="13">
        <f t="shared" si="4"/>
        <v>2.5819888974716092E-2</v>
      </c>
      <c r="Q10" s="13">
        <f t="shared" si="4"/>
        <v>3.1972210155418151E-2</v>
      </c>
      <c r="R10" s="13">
        <f t="shared" si="4"/>
        <v>2.2110831935702669E-2</v>
      </c>
      <c r="S10" s="13">
        <f t="shared" si="4"/>
        <v>2.2110831935702669E-2</v>
      </c>
      <c r="T10" s="13">
        <f t="shared" si="4"/>
        <v>2.5819888974716123E-2</v>
      </c>
    </row>
    <row r="11" spans="1:21" x14ac:dyDescent="0.25">
      <c r="A11" s="12">
        <f>A10 /A5</f>
        <v>2.0588823914575085E-2</v>
      </c>
      <c r="B11" s="12">
        <f t="shared" ref="B11:T11" si="5">B10 /B5</f>
        <v>1.2413408160921213E-2</v>
      </c>
      <c r="C11" s="12">
        <f t="shared" si="5"/>
        <v>3.0737963065138242E-2</v>
      </c>
      <c r="D11" s="12">
        <f t="shared" si="5"/>
        <v>2.9450754468697552E-2</v>
      </c>
      <c r="E11" s="12">
        <f t="shared" si="5"/>
        <v>1.0664388393425723E-2</v>
      </c>
      <c r="F11" s="12">
        <f t="shared" si="5"/>
        <v>1.5470424268750716E-2</v>
      </c>
      <c r="G11" s="12">
        <f t="shared" si="5"/>
        <v>3.6885555678165843E-2</v>
      </c>
      <c r="H11" s="12">
        <f t="shared" si="5"/>
        <v>2.4208940075586861E-2</v>
      </c>
      <c r="I11" s="12">
        <f t="shared" si="5"/>
        <v>1.2413408160921213E-2</v>
      </c>
      <c r="J11" s="12">
        <f t="shared" si="5"/>
        <v>1.6654334688162291E-2</v>
      </c>
      <c r="K11" s="12">
        <f t="shared" si="5"/>
        <v>2.3690177073967124E-2</v>
      </c>
      <c r="L11" s="12">
        <f t="shared" si="5"/>
        <v>2.8688765527462357E-2</v>
      </c>
      <c r="M11" s="12">
        <f t="shared" si="5"/>
        <v>1.527334880035899E-2</v>
      </c>
      <c r="N11" s="12">
        <f t="shared" si="5"/>
        <v>1.2295185226055296E-2</v>
      </c>
      <c r="O11" s="12">
        <f t="shared" si="5"/>
        <v>2.5527320620452956E-2</v>
      </c>
      <c r="P11" s="12">
        <f t="shared" si="5"/>
        <v>2.7467966994378822E-2</v>
      </c>
      <c r="Q11" s="12">
        <f t="shared" si="5"/>
        <v>1.5322145441893684E-2</v>
      </c>
      <c r="R11" s="12">
        <f t="shared" si="5"/>
        <v>1.0596245336598724E-2</v>
      </c>
      <c r="S11" s="12">
        <f t="shared" si="5"/>
        <v>2.4750931271308955E-2</v>
      </c>
      <c r="T11" s="12">
        <f t="shared" si="5"/>
        <v>3.0737963065138242E-2</v>
      </c>
    </row>
    <row r="14" spans="1:21" x14ac:dyDescent="0.25">
      <c r="A14" s="12">
        <v>2.0588823914575085E-2</v>
      </c>
      <c r="B14" s="12">
        <v>1.2413408160921213E-2</v>
      </c>
      <c r="C14" s="12">
        <v>3.0737963065138242E-2</v>
      </c>
      <c r="D14" s="12">
        <v>2.9450754468697552E-2</v>
      </c>
      <c r="E14" s="12">
        <v>1.0664388393425723E-2</v>
      </c>
      <c r="F14" s="12">
        <v>1.5470424268750716E-2</v>
      </c>
      <c r="G14" s="12">
        <v>3.6885555678165843E-2</v>
      </c>
      <c r="H14" s="12">
        <v>2.4208940075586861E-2</v>
      </c>
      <c r="I14" s="12">
        <v>1.2413408160921213E-2</v>
      </c>
      <c r="J14" s="12">
        <v>1.6654334688162291E-2</v>
      </c>
      <c r="K14" s="12">
        <v>2.3690177073967124E-2</v>
      </c>
      <c r="L14" s="12">
        <v>2.8688765527462357E-2</v>
      </c>
      <c r="M14" s="12">
        <v>1.527334880035899E-2</v>
      </c>
      <c r="N14" s="12">
        <v>1.2295185226055296E-2</v>
      </c>
      <c r="O14" s="12">
        <v>2.5527320620452956E-2</v>
      </c>
      <c r="P14" s="12">
        <v>2.7467966994378822E-2</v>
      </c>
      <c r="Q14" s="12">
        <v>1.5322145441893684E-2</v>
      </c>
      <c r="R14" s="12">
        <v>1.0596245336598724E-2</v>
      </c>
      <c r="S14" s="12">
        <v>2.4750931271308955E-2</v>
      </c>
      <c r="T14" s="12">
        <v>3.0737963065138242E-2</v>
      </c>
    </row>
    <row r="15" spans="1:21" x14ac:dyDescent="0.25">
      <c r="A15" s="12">
        <v>2.0588823914575085E-2</v>
      </c>
      <c r="C15" s="12">
        <v>3.0737963065138242E-2</v>
      </c>
    </row>
    <row r="16" spans="1:21" ht="15.75" customHeight="1" x14ac:dyDescent="0.25">
      <c r="A16" s="12">
        <v>1.2413408160921213E-2</v>
      </c>
      <c r="C16" s="12">
        <v>2.9450754468697552E-2</v>
      </c>
    </row>
    <row r="17" spans="1:3" x14ac:dyDescent="0.25">
      <c r="A17" s="12">
        <v>1.0664388393425723E-2</v>
      </c>
      <c r="C17" s="12">
        <v>3.6885555678165843E-2</v>
      </c>
    </row>
    <row r="18" spans="1:3" x14ac:dyDescent="0.25">
      <c r="A18" s="12">
        <v>1.5470424268750716E-2</v>
      </c>
      <c r="C18" s="12">
        <v>2.4208940075586861E-2</v>
      </c>
    </row>
    <row r="19" spans="1:3" x14ac:dyDescent="0.25">
      <c r="A19" s="12">
        <v>1.2413408160921213E-2</v>
      </c>
      <c r="C19" s="12">
        <v>2.3690177073967124E-2</v>
      </c>
    </row>
    <row r="20" spans="1:3" x14ac:dyDescent="0.25">
      <c r="A20" s="12">
        <v>1.6654334688162291E-2</v>
      </c>
      <c r="C20" s="12">
        <v>2.8688765527462357E-2</v>
      </c>
    </row>
    <row r="21" spans="1:3" x14ac:dyDescent="0.25">
      <c r="A21" s="12">
        <v>1.527334880035899E-2</v>
      </c>
      <c r="C21" s="12">
        <v>2.5527320620452956E-2</v>
      </c>
    </row>
    <row r="22" spans="1:3" x14ac:dyDescent="0.25">
      <c r="A22" s="12">
        <v>1.2295185226055296E-2</v>
      </c>
      <c r="C22" s="12">
        <v>2.7467966994378822E-2</v>
      </c>
    </row>
    <row r="23" spans="1:3" x14ac:dyDescent="0.25">
      <c r="A23" s="12">
        <v>1.5322145441893684E-2</v>
      </c>
      <c r="C23" s="12">
        <v>2.4750931271308955E-2</v>
      </c>
    </row>
    <row r="24" spans="1:3" x14ac:dyDescent="0.25">
      <c r="A24" s="12">
        <v>1.0596245336598724E-2</v>
      </c>
      <c r="C24" s="12">
        <v>3.0737963065138242E-2</v>
      </c>
    </row>
    <row r="25" spans="1:3" x14ac:dyDescent="0.25">
      <c r="A25" s="12">
        <v>2.4750931271308955E-2</v>
      </c>
    </row>
    <row r="26" spans="1:3" x14ac:dyDescent="0.25">
      <c r="A26" s="12">
        <v>3.0737963065138242E-2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E26F8-939D-420B-BDA4-E9F5CC31B005}">
  <dimension ref="A1:C6"/>
  <sheetViews>
    <sheetView workbookViewId="0">
      <selection activeCell="D2" sqref="D2"/>
    </sheetView>
  </sheetViews>
  <sheetFormatPr defaultRowHeight="15" x14ac:dyDescent="0.25"/>
  <cols>
    <col min="1" max="1" width="18.42578125" customWidth="1"/>
  </cols>
  <sheetData>
    <row r="1" spans="1:3" x14ac:dyDescent="0.25">
      <c r="B1" s="9" t="s">
        <v>21</v>
      </c>
      <c r="C1" s="10" t="s">
        <v>22</v>
      </c>
    </row>
    <row r="2" spans="1:3" x14ac:dyDescent="0.25">
      <c r="A2" t="s">
        <v>16</v>
      </c>
    </row>
    <row r="3" spans="1:3" x14ac:dyDescent="0.25">
      <c r="A3" t="s">
        <v>17</v>
      </c>
    </row>
    <row r="4" spans="1:3" x14ac:dyDescent="0.25">
      <c r="A4" t="s">
        <v>18</v>
      </c>
    </row>
    <row r="5" spans="1:3" x14ac:dyDescent="0.25">
      <c r="A5" t="s">
        <v>19</v>
      </c>
    </row>
    <row r="6" spans="1:3" x14ac:dyDescent="0.25">
      <c r="A6" t="s">
        <v>20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E282D-9DFF-4BE1-B634-6AAEAC23443C}">
  <dimension ref="A1:A5"/>
  <sheetViews>
    <sheetView workbookViewId="0">
      <selection activeCell="A7" sqref="A7"/>
    </sheetView>
  </sheetViews>
  <sheetFormatPr defaultRowHeight="15" x14ac:dyDescent="0.25"/>
  <cols>
    <col min="1" max="1" width="27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C070-8994-4BC9-B53D-57E1DE952EDE}">
  <dimension ref="A1:Y38"/>
  <sheetViews>
    <sheetView workbookViewId="0">
      <selection activeCell="Q11" sqref="Q11"/>
    </sheetView>
  </sheetViews>
  <sheetFormatPr defaultRowHeight="15" x14ac:dyDescent="0.25"/>
  <cols>
    <col min="1" max="1" width="9.140625" style="2"/>
    <col min="5" max="5" width="9.140625" style="2"/>
    <col min="6" max="9" width="10.5703125" bestFit="1" customWidth="1"/>
  </cols>
  <sheetData>
    <row r="1" spans="1:25" s="5" customFormat="1" x14ac:dyDescent="0.25">
      <c r="A1" s="3" t="s">
        <v>5</v>
      </c>
      <c r="B1" s="4">
        <v>1</v>
      </c>
      <c r="C1" s="4">
        <v>2</v>
      </c>
      <c r="D1" s="4">
        <v>3</v>
      </c>
      <c r="E1" s="22">
        <v>4</v>
      </c>
      <c r="F1" s="11">
        <v>1</v>
      </c>
      <c r="G1" s="11">
        <v>2</v>
      </c>
      <c r="H1" s="11">
        <v>3</v>
      </c>
      <c r="I1" s="11">
        <v>4</v>
      </c>
      <c r="J1" s="11">
        <v>5</v>
      </c>
      <c r="K1" s="11">
        <v>6</v>
      </c>
      <c r="L1" s="11">
        <v>7</v>
      </c>
      <c r="M1" s="11">
        <v>8</v>
      </c>
      <c r="N1" s="11">
        <v>9</v>
      </c>
      <c r="O1" s="11">
        <v>10</v>
      </c>
      <c r="P1" s="4">
        <v>11</v>
      </c>
      <c r="Q1" s="4">
        <v>12</v>
      </c>
      <c r="R1" s="4">
        <v>13</v>
      </c>
      <c r="S1" s="4">
        <v>14</v>
      </c>
      <c r="T1" s="4">
        <v>15</v>
      </c>
      <c r="U1" s="4">
        <v>16</v>
      </c>
      <c r="V1" s="4">
        <v>17</v>
      </c>
      <c r="W1" s="4">
        <v>18</v>
      </c>
      <c r="X1" s="4">
        <v>19</v>
      </c>
      <c r="Y1" s="4">
        <v>20</v>
      </c>
    </row>
    <row r="2" spans="1:25" x14ac:dyDescent="0.25">
      <c r="A2" s="2">
        <v>20</v>
      </c>
      <c r="B2" s="13">
        <v>32.04</v>
      </c>
      <c r="C2" s="13">
        <v>32.21</v>
      </c>
      <c r="D2" s="13">
        <v>40.47</v>
      </c>
      <c r="E2" s="23">
        <v>32.43</v>
      </c>
      <c r="F2" s="20">
        <f>100/B2</f>
        <v>3.1210986267166043</v>
      </c>
      <c r="G2" s="20">
        <f t="shared" ref="G2:I2" si="0">100/C2</f>
        <v>3.1046258925799441</v>
      </c>
      <c r="H2" s="20">
        <f t="shared" si="0"/>
        <v>2.4709661477637757</v>
      </c>
      <c r="I2" s="20">
        <f t="shared" si="0"/>
        <v>3.0835646006783843</v>
      </c>
      <c r="J2" s="20">
        <v>6.9589422407794022</v>
      </c>
      <c r="K2" s="20">
        <v>7.0274068868587491</v>
      </c>
      <c r="L2" s="20">
        <v>3.8729666924864445</v>
      </c>
      <c r="M2" s="20">
        <v>6.4683053040103493</v>
      </c>
      <c r="N2" s="20">
        <v>13.75515818431912</v>
      </c>
      <c r="O2" s="20">
        <v>13.986013986013985</v>
      </c>
      <c r="P2" s="13">
        <v>14.534883720930234</v>
      </c>
      <c r="Q2" s="13">
        <v>15.600624024960998</v>
      </c>
      <c r="R2" s="13">
        <v>23.752969121140143</v>
      </c>
      <c r="S2" s="13">
        <v>26.109660574412533</v>
      </c>
      <c r="T2" s="13">
        <v>26.041666666666668</v>
      </c>
      <c r="U2" s="13">
        <v>25.252525252525253</v>
      </c>
      <c r="V2" s="13">
        <v>40.322580645161288</v>
      </c>
      <c r="W2" s="13">
        <v>45.045045045045043</v>
      </c>
      <c r="X2" s="13">
        <v>33.11258278145695</v>
      </c>
      <c r="Y2" s="13">
        <v>38.022813688212928</v>
      </c>
    </row>
    <row r="3" spans="1:25" x14ac:dyDescent="0.25">
      <c r="A3" s="2">
        <v>20</v>
      </c>
      <c r="B3" s="13">
        <v>32.729999999999997</v>
      </c>
      <c r="C3" s="13">
        <v>32.46</v>
      </c>
      <c r="D3" s="13">
        <v>40.72</v>
      </c>
      <c r="E3" s="23">
        <v>32.44</v>
      </c>
      <c r="F3" s="20">
        <f t="shared" ref="F3:F18" si="1">100/B3</f>
        <v>3.0553009471432939</v>
      </c>
      <c r="G3" s="20">
        <f t="shared" ref="G3:G18" si="2">100/C3</f>
        <v>3.0807147258163892</v>
      </c>
      <c r="H3" s="20">
        <f t="shared" ref="H3:H18" si="3">100/D3</f>
        <v>2.4557956777996073</v>
      </c>
      <c r="I3" s="20">
        <f t="shared" ref="I3:I18" si="4">100/E3</f>
        <v>3.0826140567200988</v>
      </c>
      <c r="J3" s="20">
        <v>6.887052341597796</v>
      </c>
      <c r="K3" s="20">
        <v>6.587615283267457</v>
      </c>
      <c r="L3" s="20">
        <v>3.883495145631068</v>
      </c>
      <c r="M3" s="20">
        <v>6.3775510204081636</v>
      </c>
      <c r="N3" s="20">
        <v>13.297872340425533</v>
      </c>
      <c r="O3" s="20">
        <v>13.623978201634877</v>
      </c>
      <c r="P3" s="13">
        <v>15.974440894568691</v>
      </c>
      <c r="Q3" s="13">
        <v>15.503875968992247</v>
      </c>
      <c r="R3" s="13">
        <v>23.752969121140143</v>
      </c>
      <c r="S3" s="13">
        <v>25.380710659898476</v>
      </c>
      <c r="T3" s="13">
        <v>27.548209366391184</v>
      </c>
      <c r="U3" s="13">
        <v>26.954177897574123</v>
      </c>
      <c r="V3" s="13">
        <v>41.666666666666671</v>
      </c>
      <c r="W3" s="13">
        <v>38.759689922480618</v>
      </c>
      <c r="X3" s="13">
        <v>39.215686274509807</v>
      </c>
      <c r="Y3" s="13">
        <v>27.548209366391184</v>
      </c>
    </row>
    <row r="4" spans="1:25" x14ac:dyDescent="0.25">
      <c r="B4" s="13"/>
      <c r="C4" s="13"/>
      <c r="D4" s="13"/>
      <c r="E4" s="23"/>
      <c r="F4" s="26">
        <f>AVERAGE(F2:F3)</f>
        <v>3.0881997869299491</v>
      </c>
      <c r="G4" s="26">
        <f t="shared" ref="G4:Y4" si="5">AVERAGE(G2:G3)</f>
        <v>3.0926703091981667</v>
      </c>
      <c r="H4" s="26">
        <f t="shared" si="5"/>
        <v>2.4633809127816915</v>
      </c>
      <c r="I4" s="26">
        <f t="shared" si="5"/>
        <v>3.0830893286992413</v>
      </c>
      <c r="J4" s="26">
        <f t="shared" si="5"/>
        <v>6.9229972911885991</v>
      </c>
      <c r="K4" s="26">
        <f t="shared" si="5"/>
        <v>6.8075110850631031</v>
      </c>
      <c r="L4" s="26">
        <f t="shared" si="5"/>
        <v>3.8782309190587565</v>
      </c>
      <c r="M4" s="26">
        <f t="shared" si="5"/>
        <v>6.4229281622092564</v>
      </c>
      <c r="N4" s="26">
        <f t="shared" si="5"/>
        <v>13.526515262372326</v>
      </c>
      <c r="O4" s="26">
        <f t="shared" si="5"/>
        <v>13.804996093824432</v>
      </c>
      <c r="P4" s="13">
        <f t="shared" si="5"/>
        <v>15.254662307749463</v>
      </c>
      <c r="Q4" s="13">
        <f t="shared" si="5"/>
        <v>15.552249996976624</v>
      </c>
      <c r="R4" s="13">
        <f t="shared" si="5"/>
        <v>23.752969121140143</v>
      </c>
      <c r="S4" s="13">
        <f t="shared" si="5"/>
        <v>25.745185617155506</v>
      </c>
      <c r="T4" s="13">
        <f t="shared" si="5"/>
        <v>26.794938016528924</v>
      </c>
      <c r="U4" s="13">
        <f t="shared" si="5"/>
        <v>26.103351575049686</v>
      </c>
      <c r="V4" s="13">
        <f t="shared" si="5"/>
        <v>40.994623655913983</v>
      </c>
      <c r="W4" s="13">
        <f t="shared" si="5"/>
        <v>41.902367483762831</v>
      </c>
      <c r="X4" s="13">
        <f t="shared" si="5"/>
        <v>36.164134527983379</v>
      </c>
      <c r="Y4" s="13">
        <f t="shared" si="5"/>
        <v>32.785511527302056</v>
      </c>
    </row>
    <row r="5" spans="1:25" x14ac:dyDescent="0.25">
      <c r="B5" s="13"/>
      <c r="C5" s="13"/>
      <c r="D5" s="13"/>
      <c r="E5" s="23"/>
      <c r="F5" s="20">
        <f>0.01*F4</f>
        <v>3.0881997869299491E-2</v>
      </c>
      <c r="G5" s="20">
        <f t="shared" ref="G5:Y5" si="6">0.01*G4</f>
        <v>3.0926703091981669E-2</v>
      </c>
      <c r="H5" s="20">
        <f t="shared" si="6"/>
        <v>2.4633809127816916E-2</v>
      </c>
      <c r="I5" s="20">
        <f t="shared" si="6"/>
        <v>3.0830893286992414E-2</v>
      </c>
      <c r="J5" s="20">
        <f t="shared" si="6"/>
        <v>6.9229972911885998E-2</v>
      </c>
      <c r="K5" s="20">
        <f t="shared" si="6"/>
        <v>6.8075110850631032E-2</v>
      </c>
      <c r="L5" s="20">
        <f t="shared" si="6"/>
        <v>3.8782309190587567E-2</v>
      </c>
      <c r="M5" s="20">
        <f t="shared" si="6"/>
        <v>6.4229281622092571E-2</v>
      </c>
      <c r="N5" s="20">
        <f t="shared" si="6"/>
        <v>0.13526515262372327</v>
      </c>
      <c r="O5" s="20">
        <f t="shared" si="6"/>
        <v>0.13804996093824431</v>
      </c>
      <c r="P5" s="13">
        <f t="shared" si="6"/>
        <v>0.15254662307749464</v>
      </c>
      <c r="Q5" s="13">
        <f t="shared" si="6"/>
        <v>0.15552249996976625</v>
      </c>
      <c r="R5" s="13">
        <f t="shared" si="6"/>
        <v>0.23752969121140144</v>
      </c>
      <c r="S5" s="13">
        <f t="shared" si="6"/>
        <v>0.25745185617155508</v>
      </c>
      <c r="T5" s="13">
        <f t="shared" si="6"/>
        <v>0.26794938016528924</v>
      </c>
      <c r="U5" s="13">
        <f t="shared" si="6"/>
        <v>0.26103351575049688</v>
      </c>
      <c r="V5" s="13">
        <f t="shared" si="6"/>
        <v>0.40994623655913986</v>
      </c>
      <c r="W5" s="13">
        <f t="shared" si="6"/>
        <v>0.41902367483762831</v>
      </c>
      <c r="X5" s="13">
        <f t="shared" si="6"/>
        <v>0.36164134527983377</v>
      </c>
      <c r="Y5" s="13">
        <f t="shared" si="6"/>
        <v>0.32785511527302058</v>
      </c>
    </row>
    <row r="6" spans="1:25" x14ac:dyDescent="0.25">
      <c r="B6" s="13"/>
      <c r="C6" s="13"/>
      <c r="D6" s="13"/>
      <c r="E6" s="23"/>
      <c r="F6" s="11">
        <v>11</v>
      </c>
      <c r="G6" s="11">
        <v>12</v>
      </c>
      <c r="H6" s="11">
        <v>13</v>
      </c>
      <c r="I6" s="11">
        <v>14</v>
      </c>
      <c r="J6" s="11">
        <v>15</v>
      </c>
      <c r="K6" s="11">
        <v>16</v>
      </c>
      <c r="L6" s="11">
        <v>17</v>
      </c>
      <c r="M6" s="11">
        <v>18</v>
      </c>
      <c r="N6" s="11">
        <v>19</v>
      </c>
      <c r="O6" s="11">
        <v>20</v>
      </c>
      <c r="P6" s="13"/>
      <c r="Q6" s="13"/>
      <c r="R6" s="13"/>
      <c r="S6" s="13"/>
      <c r="T6" s="13"/>
      <c r="U6" s="13"/>
      <c r="V6" s="13"/>
      <c r="W6" s="13"/>
      <c r="X6" s="13"/>
      <c r="Y6" s="13"/>
    </row>
    <row r="7" spans="1:25" x14ac:dyDescent="0.25">
      <c r="B7" s="13"/>
      <c r="C7" s="13"/>
      <c r="D7" s="13"/>
      <c r="E7" s="23"/>
      <c r="F7" s="20">
        <v>14.534883720930234</v>
      </c>
      <c r="G7" s="20">
        <v>15.600624024960998</v>
      </c>
      <c r="H7" s="20">
        <v>23.752969121140143</v>
      </c>
      <c r="I7" s="20">
        <v>26.109660574412533</v>
      </c>
      <c r="J7" s="20">
        <v>26.041666666666668</v>
      </c>
      <c r="K7" s="20">
        <v>25.252525252525253</v>
      </c>
      <c r="L7" s="20">
        <v>40.322580645161288</v>
      </c>
      <c r="M7" s="20">
        <v>45.045045045045043</v>
      </c>
      <c r="N7" s="20">
        <v>33.11258278145695</v>
      </c>
      <c r="O7" s="20">
        <v>38.022813688212928</v>
      </c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 x14ac:dyDescent="0.25">
      <c r="B8" s="13"/>
      <c r="C8" s="13"/>
      <c r="D8" s="13"/>
      <c r="E8" s="23"/>
      <c r="F8" s="20">
        <v>15.974440894568691</v>
      </c>
      <c r="G8" s="20">
        <v>15.503875968992247</v>
      </c>
      <c r="H8" s="20">
        <v>23.752969121140143</v>
      </c>
      <c r="I8" s="20">
        <v>25.380710659898476</v>
      </c>
      <c r="J8" s="20">
        <v>27.548209366391184</v>
      </c>
      <c r="K8" s="20">
        <v>26.954177897574123</v>
      </c>
      <c r="L8" s="20">
        <v>41.666666666666671</v>
      </c>
      <c r="M8" s="20">
        <v>38.759689922480618</v>
      </c>
      <c r="N8" s="20">
        <v>39.215686274509807</v>
      </c>
      <c r="O8" s="20">
        <v>27.548209366391184</v>
      </c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x14ac:dyDescent="0.25">
      <c r="B9" s="13"/>
      <c r="C9" s="13"/>
      <c r="D9" s="13"/>
      <c r="E9" s="23"/>
      <c r="F9" s="26">
        <v>15.254662307749463</v>
      </c>
      <c r="G9" s="26">
        <v>15.552249996976624</v>
      </c>
      <c r="H9" s="26">
        <v>23.752969121140143</v>
      </c>
      <c r="I9" s="26">
        <v>25.745185617155506</v>
      </c>
      <c r="J9" s="26">
        <v>26.794938016528924</v>
      </c>
      <c r="K9" s="26">
        <v>26.103351575049686</v>
      </c>
      <c r="L9" s="26">
        <v>40.994623655913983</v>
      </c>
      <c r="M9" s="26">
        <v>41.902367483762831</v>
      </c>
      <c r="N9" s="26">
        <v>36.164134527983379</v>
      </c>
      <c r="O9" s="26">
        <v>32.785511527302056</v>
      </c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x14ac:dyDescent="0.25">
      <c r="B10" s="13"/>
      <c r="C10" s="13"/>
      <c r="D10" s="13"/>
      <c r="E10" s="23"/>
      <c r="F10" s="20">
        <v>0.15254662307749464</v>
      </c>
      <c r="G10" s="20">
        <v>0.15552249996976625</v>
      </c>
      <c r="H10" s="20">
        <v>0.23752969121140144</v>
      </c>
      <c r="I10" s="20">
        <v>0.25745185617155508</v>
      </c>
      <c r="J10" s="20">
        <v>0.26794938016528924</v>
      </c>
      <c r="K10" s="20">
        <v>0.26103351575049688</v>
      </c>
      <c r="L10" s="20">
        <v>0.40994623655913986</v>
      </c>
      <c r="M10" s="20">
        <v>0.41902367483762831</v>
      </c>
      <c r="N10" s="20">
        <v>0.36164134527983377</v>
      </c>
      <c r="O10" s="20">
        <v>0.32785511527302058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x14ac:dyDescent="0.25">
      <c r="A11" s="2">
        <v>30</v>
      </c>
      <c r="B11" s="13">
        <v>14.37</v>
      </c>
      <c r="C11" s="13">
        <v>14.23</v>
      </c>
      <c r="D11" s="13">
        <v>25.82</v>
      </c>
      <c r="E11" s="23">
        <v>15.46</v>
      </c>
      <c r="F11" s="13">
        <f t="shared" si="1"/>
        <v>6.9589422407794022</v>
      </c>
      <c r="G11" s="13">
        <f t="shared" si="2"/>
        <v>7.0274068868587491</v>
      </c>
      <c r="H11" s="13">
        <f t="shared" si="3"/>
        <v>3.8729666924864445</v>
      </c>
      <c r="I11" s="13">
        <f t="shared" si="4"/>
        <v>6.4683053040103493</v>
      </c>
    </row>
    <row r="12" spans="1:25" x14ac:dyDescent="0.25">
      <c r="A12" s="2">
        <v>30</v>
      </c>
      <c r="B12" s="13">
        <v>14.52</v>
      </c>
      <c r="C12" s="13">
        <v>15.18</v>
      </c>
      <c r="D12" s="13">
        <v>25.75</v>
      </c>
      <c r="E12" s="23">
        <v>15.68</v>
      </c>
      <c r="F12" s="13">
        <f t="shared" si="1"/>
        <v>6.887052341597796</v>
      </c>
      <c r="G12" s="13">
        <f t="shared" si="2"/>
        <v>6.587615283267457</v>
      </c>
      <c r="H12" s="13">
        <f t="shared" si="3"/>
        <v>3.883495145631068</v>
      </c>
      <c r="I12" s="13">
        <f t="shared" si="4"/>
        <v>6.3775510204081636</v>
      </c>
    </row>
    <row r="13" spans="1:25" x14ac:dyDescent="0.25">
      <c r="A13" s="2">
        <v>40</v>
      </c>
      <c r="B13" s="13">
        <v>7.27</v>
      </c>
      <c r="C13" s="13">
        <v>7.15</v>
      </c>
      <c r="D13" s="13">
        <v>6.88</v>
      </c>
      <c r="E13" s="23">
        <v>6.41</v>
      </c>
      <c r="F13" s="13">
        <f t="shared" si="1"/>
        <v>13.75515818431912</v>
      </c>
      <c r="G13" s="13">
        <f t="shared" si="2"/>
        <v>13.986013986013985</v>
      </c>
      <c r="H13" s="13">
        <f t="shared" si="3"/>
        <v>14.534883720930234</v>
      </c>
      <c r="I13" s="13">
        <f t="shared" si="4"/>
        <v>15.600624024960998</v>
      </c>
    </row>
    <row r="14" spans="1:25" x14ac:dyDescent="0.25">
      <c r="A14" s="2">
        <v>40</v>
      </c>
      <c r="B14" s="13">
        <v>7.52</v>
      </c>
      <c r="C14" s="13">
        <v>7.34</v>
      </c>
      <c r="D14" s="13">
        <v>6.26</v>
      </c>
      <c r="E14" s="23">
        <v>6.45</v>
      </c>
      <c r="F14" s="13">
        <f t="shared" si="1"/>
        <v>13.297872340425533</v>
      </c>
      <c r="G14" s="13">
        <f t="shared" si="2"/>
        <v>13.623978201634877</v>
      </c>
      <c r="H14" s="13">
        <f t="shared" si="3"/>
        <v>15.974440894568691</v>
      </c>
      <c r="I14" s="13">
        <f t="shared" si="4"/>
        <v>15.503875968992247</v>
      </c>
    </row>
    <row r="15" spans="1:25" x14ac:dyDescent="0.25">
      <c r="A15" s="2">
        <v>50</v>
      </c>
      <c r="B15" s="13">
        <v>4.21</v>
      </c>
      <c r="C15" s="13">
        <v>3.83</v>
      </c>
      <c r="D15" s="13">
        <v>3.84</v>
      </c>
      <c r="E15" s="23">
        <v>3.96</v>
      </c>
      <c r="F15" s="13">
        <f t="shared" si="1"/>
        <v>23.752969121140143</v>
      </c>
      <c r="G15" s="13">
        <f t="shared" si="2"/>
        <v>26.109660574412533</v>
      </c>
      <c r="H15" s="13">
        <f t="shared" si="3"/>
        <v>26.041666666666668</v>
      </c>
      <c r="I15" s="13">
        <f t="shared" si="4"/>
        <v>25.252525252525253</v>
      </c>
    </row>
    <row r="16" spans="1:25" x14ac:dyDescent="0.25">
      <c r="A16" s="2">
        <v>50</v>
      </c>
      <c r="B16" s="13">
        <v>4.21</v>
      </c>
      <c r="C16" s="13">
        <v>3.94</v>
      </c>
      <c r="D16" s="13">
        <v>3.63</v>
      </c>
      <c r="E16" s="23">
        <v>3.71</v>
      </c>
      <c r="F16" s="13">
        <f t="shared" si="1"/>
        <v>23.752969121140143</v>
      </c>
      <c r="G16" s="13">
        <f t="shared" si="2"/>
        <v>25.380710659898476</v>
      </c>
      <c r="H16" s="13">
        <f t="shared" si="3"/>
        <v>27.548209366391184</v>
      </c>
      <c r="I16" s="13">
        <f t="shared" si="4"/>
        <v>26.954177897574123</v>
      </c>
    </row>
    <row r="17" spans="1:17" x14ac:dyDescent="0.25">
      <c r="A17" s="2">
        <v>60</v>
      </c>
      <c r="B17" s="13">
        <v>2.48</v>
      </c>
      <c r="C17" s="13">
        <v>2.2200000000000002</v>
      </c>
      <c r="D17" s="13">
        <v>3.02</v>
      </c>
      <c r="E17" s="23">
        <v>2.63</v>
      </c>
      <c r="F17" s="13">
        <f t="shared" si="1"/>
        <v>40.322580645161288</v>
      </c>
      <c r="G17" s="13">
        <f t="shared" si="2"/>
        <v>45.045045045045043</v>
      </c>
      <c r="H17" s="13">
        <f t="shared" si="3"/>
        <v>33.11258278145695</v>
      </c>
      <c r="I17" s="13">
        <f t="shared" si="4"/>
        <v>38.022813688212928</v>
      </c>
    </row>
    <row r="18" spans="1:17" x14ac:dyDescent="0.25">
      <c r="A18" s="2">
        <v>60</v>
      </c>
      <c r="B18" s="13">
        <v>2.4</v>
      </c>
      <c r="C18" s="13">
        <v>2.58</v>
      </c>
      <c r="D18" s="13">
        <v>2.5499999999999998</v>
      </c>
      <c r="E18" s="23">
        <v>3.63</v>
      </c>
      <c r="F18" s="13">
        <f t="shared" si="1"/>
        <v>41.666666666666671</v>
      </c>
      <c r="G18" s="13">
        <f t="shared" si="2"/>
        <v>38.759689922480618</v>
      </c>
      <c r="H18" s="13">
        <f t="shared" si="3"/>
        <v>39.215686274509807</v>
      </c>
      <c r="I18" s="13">
        <f t="shared" si="4"/>
        <v>27.548209366391184</v>
      </c>
    </row>
    <row r="28" spans="1:17" x14ac:dyDescent="0.25">
      <c r="A28" s="3" t="s">
        <v>5</v>
      </c>
      <c r="B28" s="4">
        <v>1</v>
      </c>
      <c r="C28" s="4">
        <v>2</v>
      </c>
      <c r="D28" s="4">
        <v>3</v>
      </c>
      <c r="E28" s="22">
        <v>4</v>
      </c>
      <c r="F28" s="4">
        <v>1</v>
      </c>
      <c r="G28" s="4">
        <v>2</v>
      </c>
      <c r="H28" s="4">
        <v>3</v>
      </c>
      <c r="I28" s="4">
        <v>4</v>
      </c>
    </row>
    <row r="29" spans="1:17" x14ac:dyDescent="0.25">
      <c r="A29" s="2">
        <v>20</v>
      </c>
      <c r="B29" s="13">
        <v>32.04</v>
      </c>
      <c r="C29" s="13">
        <v>32.21</v>
      </c>
      <c r="D29" s="13">
        <v>40.47</v>
      </c>
      <c r="E29" s="23">
        <v>32.43</v>
      </c>
      <c r="F29" s="13">
        <f>100/B29</f>
        <v>3.1210986267166043</v>
      </c>
      <c r="G29" s="13">
        <f t="shared" ref="G29:G30" si="7">100/C29</f>
        <v>3.1046258925799441</v>
      </c>
      <c r="H29" s="13">
        <f t="shared" ref="H29:H30" si="8">100/D29</f>
        <v>2.4709661477637757</v>
      </c>
      <c r="I29" s="13">
        <f t="shared" ref="I29:I30" si="9">100/E29</f>
        <v>3.0835646006783843</v>
      </c>
      <c r="J29" s="24">
        <f>SQRT(0.0001 + (0.02/B29)*(0.02/B29))*F29</f>
        <v>3.1271733994207657E-2</v>
      </c>
      <c r="K29" s="24">
        <f t="shared" ref="K29:M29" si="10">SQRT(0.0001 + (0.02/C29)*(0.02/C29))*G29</f>
        <v>3.1106050477130911E-2</v>
      </c>
      <c r="L29" s="24">
        <f t="shared" si="10"/>
        <v>2.473981690300776E-2</v>
      </c>
      <c r="M29" s="24">
        <f t="shared" si="10"/>
        <v>3.089422970636712E-2</v>
      </c>
      <c r="N29" s="25">
        <f>SQRT(0.0001 + (0.02/B29)*(0.02/B29))</f>
        <v>1.0019463571744132E-2</v>
      </c>
      <c r="O29" s="25">
        <f t="shared" ref="O29:Q29" si="11">SQRT(0.0001 + (0.02/C29)*(0.02/C29))</f>
        <v>1.0019258858683867E-2</v>
      </c>
      <c r="P29" s="25">
        <f t="shared" si="11"/>
        <v>1.001220390064724E-2</v>
      </c>
      <c r="Q29" s="25">
        <f t="shared" si="11"/>
        <v>1.0018998693774856E-2</v>
      </c>
    </row>
    <row r="30" spans="1:17" x14ac:dyDescent="0.25">
      <c r="A30" s="2">
        <v>20</v>
      </c>
      <c r="B30" s="13">
        <v>32.729999999999997</v>
      </c>
      <c r="C30" s="13">
        <v>32.46</v>
      </c>
      <c r="D30" s="13">
        <v>40.72</v>
      </c>
      <c r="E30" s="23">
        <v>32.44</v>
      </c>
      <c r="F30" s="13">
        <f t="shared" ref="F30" si="12">100/B30</f>
        <v>3.0553009471432939</v>
      </c>
      <c r="G30" s="13">
        <f t="shared" si="7"/>
        <v>3.0807147258163892</v>
      </c>
      <c r="H30" s="13">
        <f t="shared" si="8"/>
        <v>2.4557956777996073</v>
      </c>
      <c r="I30" s="13">
        <f t="shared" si="9"/>
        <v>3.0826140567200988</v>
      </c>
      <c r="J30" s="24">
        <f t="shared" ref="J30:J38" si="13">SQRT(0.0001 + (0.02/B30)*(0.02/B30))*F30</f>
        <v>3.0609997959915234E-2</v>
      </c>
      <c r="K30" s="24">
        <f t="shared" ref="K30:K38" si="14">SQRT(0.0001 + (0.02/C30)*(0.02/C30))*G30</f>
        <v>3.0865568778463155E-2</v>
      </c>
      <c r="L30" s="24">
        <f t="shared" ref="L30:L38" si="15">SQRT(0.0001 + (0.02/D30)*(0.02/D30))*H30</f>
        <v>2.4587560410496465E-2</v>
      </c>
      <c r="M30" s="24">
        <f t="shared" ref="M30:M38" si="16">SQRT(0.0001 + (0.02/E30)*(0.02/E30))*I30</f>
        <v>3.088467014041053E-2</v>
      </c>
      <c r="N30" s="25">
        <f t="shared" ref="N30:N38" si="17">SQRT(0.0001 + (0.02/B30)*(0.02/B30))</f>
        <v>1.0018652332280255E-2</v>
      </c>
      <c r="O30" s="25">
        <f t="shared" ref="O30:O38" si="18">SQRT(0.0001 + (0.02/C30)*(0.02/C30))</f>
        <v>1.001896362548914E-2</v>
      </c>
      <c r="P30" s="25">
        <f t="shared" ref="P30:P38" si="19">SQRT(0.0001 + (0.02/D30)*(0.02/D30))</f>
        <v>1.001205459915416E-2</v>
      </c>
      <c r="Q30" s="25">
        <f t="shared" ref="Q30:Q38" si="20">SQRT(0.0001 + (0.02/E30)*(0.02/E30))</f>
        <v>1.0018986993549176E-2</v>
      </c>
    </row>
    <row r="31" spans="1:17" x14ac:dyDescent="0.25">
      <c r="A31" s="2">
        <v>30</v>
      </c>
      <c r="B31" s="13">
        <v>14.37</v>
      </c>
      <c r="C31" s="13">
        <v>14.23</v>
      </c>
      <c r="D31" s="13">
        <v>25.82</v>
      </c>
      <c r="E31" s="23">
        <v>15.46</v>
      </c>
      <c r="F31" s="13">
        <f t="shared" ref="F31:F38" si="21">100/B31</f>
        <v>6.9589422407794022</v>
      </c>
      <c r="G31" s="13">
        <f t="shared" ref="G31:G38" si="22">100/C31</f>
        <v>7.0274068868587491</v>
      </c>
      <c r="H31" s="13">
        <f t="shared" ref="H31:H38" si="23">100/D31</f>
        <v>3.8729666924864445</v>
      </c>
      <c r="I31" s="13">
        <f t="shared" ref="I31:I38" si="24">100/E31</f>
        <v>6.4683053040103493</v>
      </c>
      <c r="J31" s="24">
        <f t="shared" si="13"/>
        <v>7.0260189354409072E-2</v>
      </c>
      <c r="K31" s="24">
        <f t="shared" si="14"/>
        <v>7.0964763803971292E-2</v>
      </c>
      <c r="L31" s="24">
        <f t="shared" si="15"/>
        <v>3.8845681166803293E-2</v>
      </c>
      <c r="M31" s="24">
        <f t="shared" si="16"/>
        <v>6.5222061748689761E-2</v>
      </c>
      <c r="N31" s="25">
        <f t="shared" si="17"/>
        <v>1.0096389210228584E-2</v>
      </c>
      <c r="O31" s="25">
        <f t="shared" si="18"/>
        <v>1.0098285889305114E-2</v>
      </c>
      <c r="P31" s="25">
        <f t="shared" si="19"/>
        <v>1.0029954877268611E-2</v>
      </c>
      <c r="Q31" s="25">
        <f t="shared" si="20"/>
        <v>1.0083330746347437E-2</v>
      </c>
    </row>
    <row r="32" spans="1:17" x14ac:dyDescent="0.25">
      <c r="A32" s="2">
        <v>30</v>
      </c>
      <c r="B32" s="13">
        <v>14.52</v>
      </c>
      <c r="C32" s="13">
        <v>15.18</v>
      </c>
      <c r="D32" s="13">
        <v>25.75</v>
      </c>
      <c r="E32" s="23">
        <v>15.68</v>
      </c>
      <c r="F32" s="13">
        <f t="shared" si="21"/>
        <v>6.887052341597796</v>
      </c>
      <c r="G32" s="13">
        <f t="shared" si="22"/>
        <v>6.587615283267457</v>
      </c>
      <c r="H32" s="13">
        <f t="shared" si="23"/>
        <v>3.883495145631068</v>
      </c>
      <c r="I32" s="13">
        <f t="shared" si="24"/>
        <v>6.3775510204081636</v>
      </c>
      <c r="J32" s="24">
        <f t="shared" si="13"/>
        <v>6.9520779952243511E-2</v>
      </c>
      <c r="K32" s="24">
        <f t="shared" si="14"/>
        <v>6.6445454084488792E-2</v>
      </c>
      <c r="L32" s="24">
        <f t="shared" si="15"/>
        <v>3.8951913457295831E-2</v>
      </c>
      <c r="M32" s="24">
        <f t="shared" si="16"/>
        <v>6.4292207380545446E-2</v>
      </c>
      <c r="N32" s="25">
        <f t="shared" si="17"/>
        <v>1.0094417249065759E-2</v>
      </c>
      <c r="O32" s="25">
        <f t="shared" si="18"/>
        <v>1.0086419930025398E-2</v>
      </c>
      <c r="P32" s="25">
        <f t="shared" si="19"/>
        <v>1.0030117715253676E-2</v>
      </c>
      <c r="Q32" s="25">
        <f t="shared" si="20"/>
        <v>1.0081018117269525E-2</v>
      </c>
    </row>
    <row r="33" spans="1:17" x14ac:dyDescent="0.25">
      <c r="A33" s="2">
        <v>40</v>
      </c>
      <c r="B33" s="13">
        <v>7.27</v>
      </c>
      <c r="C33" s="13">
        <v>7.15</v>
      </c>
      <c r="D33" s="13">
        <v>6.88</v>
      </c>
      <c r="E33" s="23">
        <v>6.41</v>
      </c>
      <c r="F33" s="13">
        <f t="shared" si="21"/>
        <v>13.75515818431912</v>
      </c>
      <c r="G33" s="13">
        <f t="shared" si="22"/>
        <v>13.986013986013985</v>
      </c>
      <c r="H33" s="13">
        <f t="shared" si="23"/>
        <v>14.534883720930234</v>
      </c>
      <c r="I33" s="13">
        <f t="shared" si="24"/>
        <v>15.600624024960998</v>
      </c>
      <c r="J33" s="24">
        <f t="shared" si="13"/>
        <v>0.1426617310763221</v>
      </c>
      <c r="K33" s="24">
        <f t="shared" si="14"/>
        <v>0.14522867312421048</v>
      </c>
      <c r="L33" s="24">
        <f t="shared" si="15"/>
        <v>0.15136566341642371</v>
      </c>
      <c r="M33" s="24">
        <f t="shared" si="16"/>
        <v>0.16342365083701602</v>
      </c>
      <c r="N33" s="25">
        <f t="shared" si="17"/>
        <v>1.0371507849248616E-2</v>
      </c>
      <c r="O33" s="25">
        <f t="shared" si="18"/>
        <v>1.0383850128381051E-2</v>
      </c>
      <c r="P33" s="25">
        <f t="shared" si="19"/>
        <v>1.0413957643049952E-2</v>
      </c>
      <c r="Q33" s="25">
        <f t="shared" si="20"/>
        <v>1.0475456018652726E-2</v>
      </c>
    </row>
    <row r="34" spans="1:17" x14ac:dyDescent="0.25">
      <c r="A34" s="2">
        <v>40</v>
      </c>
      <c r="B34" s="13">
        <v>7.52</v>
      </c>
      <c r="C34" s="13">
        <v>7.34</v>
      </c>
      <c r="D34" s="13">
        <v>6.26</v>
      </c>
      <c r="E34" s="23">
        <v>6.45</v>
      </c>
      <c r="F34" s="13">
        <f t="shared" si="21"/>
        <v>13.297872340425533</v>
      </c>
      <c r="G34" s="13">
        <f t="shared" si="22"/>
        <v>13.623978201634877</v>
      </c>
      <c r="H34" s="13">
        <f t="shared" si="23"/>
        <v>15.974440894568691</v>
      </c>
      <c r="I34" s="13">
        <f t="shared" si="24"/>
        <v>15.503875968992247</v>
      </c>
      <c r="J34" s="24">
        <f t="shared" si="13"/>
        <v>0.13760139191406287</v>
      </c>
      <c r="K34" s="24">
        <f t="shared" si="14"/>
        <v>0.14120680719464951</v>
      </c>
      <c r="L34" s="24">
        <f t="shared" si="15"/>
        <v>0.16769915285451578</v>
      </c>
      <c r="M34" s="24">
        <f t="shared" si="16"/>
        <v>0.16232106995831719</v>
      </c>
      <c r="N34" s="25">
        <f t="shared" si="17"/>
        <v>1.0347624671937526E-2</v>
      </c>
      <c r="O34" s="25">
        <f t="shared" si="18"/>
        <v>1.0364579648087274E-2</v>
      </c>
      <c r="P34" s="25">
        <f t="shared" si="19"/>
        <v>1.0497966968692688E-2</v>
      </c>
      <c r="Q34" s="25">
        <f t="shared" si="20"/>
        <v>1.046970901231146E-2</v>
      </c>
    </row>
    <row r="35" spans="1:17" x14ac:dyDescent="0.25">
      <c r="A35" s="2">
        <v>50</v>
      </c>
      <c r="B35" s="13">
        <v>4.21</v>
      </c>
      <c r="C35" s="13">
        <v>3.83</v>
      </c>
      <c r="D35" s="13">
        <v>3.84</v>
      </c>
      <c r="E35" s="23">
        <v>3.96</v>
      </c>
      <c r="F35" s="13">
        <f t="shared" si="21"/>
        <v>23.752969121140143</v>
      </c>
      <c r="G35" s="13">
        <f t="shared" si="22"/>
        <v>26.109660574412533</v>
      </c>
      <c r="H35" s="13">
        <f t="shared" si="23"/>
        <v>26.041666666666668</v>
      </c>
      <c r="I35" s="13">
        <f t="shared" si="24"/>
        <v>25.252525252525253</v>
      </c>
      <c r="J35" s="24">
        <f t="shared" si="13"/>
        <v>0.26297030190184922</v>
      </c>
      <c r="K35" s="24">
        <f t="shared" si="14"/>
        <v>0.29455189205186183</v>
      </c>
      <c r="L35" s="24">
        <f t="shared" si="15"/>
        <v>0.29362107482063388</v>
      </c>
      <c r="M35" s="24">
        <f t="shared" si="16"/>
        <v>0.28290448250341327</v>
      </c>
      <c r="N35" s="25">
        <f t="shared" si="17"/>
        <v>1.1071049710067853E-2</v>
      </c>
      <c r="O35" s="25">
        <f t="shared" si="18"/>
        <v>1.1281337465586308E-2</v>
      </c>
      <c r="P35" s="25">
        <f t="shared" si="19"/>
        <v>1.1275049273112341E-2</v>
      </c>
      <c r="Q35" s="25">
        <f t="shared" si="20"/>
        <v>1.1203017507135166E-2</v>
      </c>
    </row>
    <row r="36" spans="1:17" x14ac:dyDescent="0.25">
      <c r="A36" s="2">
        <v>50</v>
      </c>
      <c r="B36" s="13">
        <v>4.21</v>
      </c>
      <c r="C36" s="13">
        <v>3.94</v>
      </c>
      <c r="D36" s="13">
        <v>3.63</v>
      </c>
      <c r="E36" s="23">
        <v>3.71</v>
      </c>
      <c r="F36" s="13">
        <f t="shared" si="21"/>
        <v>23.752969121140143</v>
      </c>
      <c r="G36" s="13">
        <f t="shared" si="22"/>
        <v>25.380710659898476</v>
      </c>
      <c r="H36" s="13">
        <f t="shared" si="23"/>
        <v>27.548209366391184</v>
      </c>
      <c r="I36" s="13">
        <f t="shared" si="24"/>
        <v>26.954177897574123</v>
      </c>
      <c r="J36" s="24">
        <f t="shared" si="13"/>
        <v>0.26297030190184922</v>
      </c>
      <c r="K36" s="24">
        <f t="shared" si="14"/>
        <v>0.28463447904799888</v>
      </c>
      <c r="L36" s="24">
        <f t="shared" si="15"/>
        <v>0.31452787701774704</v>
      </c>
      <c r="M36" s="24">
        <f t="shared" si="16"/>
        <v>0.30621311357390441</v>
      </c>
      <c r="N36" s="25">
        <f t="shared" si="17"/>
        <v>1.1071049710067853E-2</v>
      </c>
      <c r="O36" s="25">
        <f t="shared" si="18"/>
        <v>1.1214598474491157E-2</v>
      </c>
      <c r="P36" s="25">
        <f t="shared" si="19"/>
        <v>1.1417361935744217E-2</v>
      </c>
      <c r="Q36" s="25">
        <f t="shared" si="20"/>
        <v>1.1360506513591854E-2</v>
      </c>
    </row>
    <row r="37" spans="1:17" x14ac:dyDescent="0.25">
      <c r="A37" s="2">
        <v>60</v>
      </c>
      <c r="B37" s="13">
        <v>2.48</v>
      </c>
      <c r="C37" s="13">
        <v>2.2200000000000002</v>
      </c>
      <c r="D37" s="13">
        <v>3.02</v>
      </c>
      <c r="E37" s="23">
        <v>2.63</v>
      </c>
      <c r="F37" s="13">
        <f t="shared" si="21"/>
        <v>40.322580645161288</v>
      </c>
      <c r="G37" s="13">
        <f t="shared" si="22"/>
        <v>45.045045045045043</v>
      </c>
      <c r="H37" s="13">
        <f t="shared" si="23"/>
        <v>33.11258278145695</v>
      </c>
      <c r="I37" s="13">
        <f t="shared" si="24"/>
        <v>38.022813688212928</v>
      </c>
      <c r="J37" s="24">
        <f t="shared" si="13"/>
        <v>0.51801008719406549</v>
      </c>
      <c r="K37" s="24">
        <f t="shared" si="14"/>
        <v>0.6062906496452537</v>
      </c>
      <c r="L37" s="24">
        <f t="shared" si="15"/>
        <v>0.39715465008082523</v>
      </c>
      <c r="M37" s="24">
        <f t="shared" si="16"/>
        <v>0.47768122189712409</v>
      </c>
      <c r="N37" s="25">
        <f t="shared" si="17"/>
        <v>1.2846650162412824E-2</v>
      </c>
      <c r="O37" s="25">
        <f t="shared" si="18"/>
        <v>1.3459652422124633E-2</v>
      </c>
      <c r="P37" s="25">
        <f t="shared" si="19"/>
        <v>1.1994070432440922E-2</v>
      </c>
      <c r="Q37" s="25">
        <f t="shared" si="20"/>
        <v>1.2563016135894363E-2</v>
      </c>
    </row>
    <row r="38" spans="1:17" x14ac:dyDescent="0.25">
      <c r="A38" s="2">
        <v>60</v>
      </c>
      <c r="B38" s="13">
        <v>2.4</v>
      </c>
      <c r="C38" s="13">
        <v>2.58</v>
      </c>
      <c r="D38" s="13">
        <v>2.5499999999999998</v>
      </c>
      <c r="E38" s="23">
        <v>3.63</v>
      </c>
      <c r="F38" s="13">
        <f t="shared" si="21"/>
        <v>41.666666666666671</v>
      </c>
      <c r="G38" s="13">
        <f t="shared" si="22"/>
        <v>38.759689922480618</v>
      </c>
      <c r="H38" s="13">
        <f t="shared" si="23"/>
        <v>39.215686274509807</v>
      </c>
      <c r="I38" s="13">
        <f t="shared" si="24"/>
        <v>27.548209366391184</v>
      </c>
      <c r="J38" s="24">
        <f t="shared" si="13"/>
        <v>0.5423784497157399</v>
      </c>
      <c r="K38" s="24">
        <f t="shared" si="14"/>
        <v>0.49041737116259998</v>
      </c>
      <c r="L38" s="24">
        <f t="shared" si="15"/>
        <v>0.49838617218296966</v>
      </c>
      <c r="M38" s="24">
        <f t="shared" si="16"/>
        <v>0.31452787701774704</v>
      </c>
      <c r="N38" s="25">
        <f t="shared" si="17"/>
        <v>1.3017082793177757E-2</v>
      </c>
      <c r="O38" s="25">
        <f t="shared" si="18"/>
        <v>1.265276817599508E-2</v>
      </c>
      <c r="P38" s="25">
        <f t="shared" si="19"/>
        <v>1.2708847390665726E-2</v>
      </c>
      <c r="Q38" s="25">
        <f t="shared" si="20"/>
        <v>1.1417361935744217E-2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92341-F070-4045-9866-2EBCD0F34079}">
  <dimension ref="A1:Z26"/>
  <sheetViews>
    <sheetView tabSelected="1" topLeftCell="F2" workbookViewId="0">
      <selection activeCell="J16" sqref="J16:J20"/>
    </sheetView>
  </sheetViews>
  <sheetFormatPr defaultRowHeight="15" x14ac:dyDescent="0.25"/>
  <cols>
    <col min="5" max="5" width="23.85546875" style="14" customWidth="1"/>
  </cols>
  <sheetData>
    <row r="1" spans="1:26" x14ac:dyDescent="0.25">
      <c r="A1" t="s">
        <v>25</v>
      </c>
      <c r="B1" s="13" t="s">
        <v>26</v>
      </c>
      <c r="C1" s="13" t="s">
        <v>27</v>
      </c>
      <c r="D1" s="13" t="s">
        <v>28</v>
      </c>
      <c r="E1" s="14" t="s">
        <v>29</v>
      </c>
      <c r="F1" s="13" t="s">
        <v>30</v>
      </c>
      <c r="G1" s="13" t="s">
        <v>31</v>
      </c>
      <c r="H1" s="13" t="s">
        <v>42</v>
      </c>
      <c r="I1" s="13"/>
      <c r="J1" s="13"/>
      <c r="K1" s="13"/>
      <c r="L1" t="s">
        <v>25</v>
      </c>
      <c r="M1" s="13" t="s">
        <v>26</v>
      </c>
      <c r="N1" s="13" t="s">
        <v>27</v>
      </c>
      <c r="O1" s="13"/>
      <c r="P1" s="13" t="s">
        <v>29</v>
      </c>
      <c r="Q1" s="13" t="s">
        <v>30</v>
      </c>
      <c r="R1" s="13" t="s">
        <v>31</v>
      </c>
      <c r="S1" s="13"/>
      <c r="T1" s="13"/>
      <c r="U1" s="13"/>
      <c r="V1" s="13"/>
      <c r="W1" s="13"/>
      <c r="X1" s="13"/>
    </row>
    <row r="2" spans="1:26" x14ac:dyDescent="0.25">
      <c r="A2" s="13">
        <v>3.0881997869299491</v>
      </c>
      <c r="B2" s="13">
        <v>2.0733333333333337</v>
      </c>
      <c r="C2" s="12">
        <v>1.26</v>
      </c>
      <c r="D2" s="12">
        <f>2.5 -C2</f>
        <v>1.24</v>
      </c>
      <c r="E2" s="13">
        <f>2/9 * 9.8155 * POWER((B2/2), 2) * D2 /A2</f>
        <v>0.9412272208123712</v>
      </c>
      <c r="F2" s="12">
        <v>2.0588823914575085E-2</v>
      </c>
      <c r="G2">
        <f>SQRT(4*F2*F2 + 0.0001)</f>
        <v>4.2374505079605537E-2</v>
      </c>
      <c r="H2" s="12">
        <f>A2*B2*C2/E2/2/1000</f>
        <v>4.2856883784197514E-3</v>
      </c>
      <c r="I2" s="27">
        <f>2/9*2.5*B2*B2/4/E2</f>
        <v>0.63432420639220011</v>
      </c>
      <c r="J2" s="27">
        <f>I2*A2</f>
        <v>1.9589198790249014</v>
      </c>
      <c r="K2" s="13"/>
      <c r="L2" s="13">
        <v>2.4633809127816915</v>
      </c>
      <c r="M2" s="13">
        <v>0.84</v>
      </c>
      <c r="N2" s="12">
        <v>1.26</v>
      </c>
      <c r="O2" s="12">
        <f>7.8 -N2</f>
        <v>6.54</v>
      </c>
      <c r="P2" s="13">
        <f>2/9 * 9.8155 * POWER((M2/2), 2) * O2 /L2</f>
        <v>1.0215148176813873</v>
      </c>
      <c r="Q2" s="12">
        <v>3.0737963065138242E-2</v>
      </c>
      <c r="R2">
        <f>SQRT(4*Q2*Q2 + 0.0001)</f>
        <v>6.2283942501861672E-2</v>
      </c>
      <c r="S2" s="13">
        <f>R2*P2</f>
        <v>6.3623970169267241E-2</v>
      </c>
      <c r="T2" s="15">
        <f>L2*M2*N2/P2/2000</f>
        <v>1.2761647275983748E-3</v>
      </c>
      <c r="U2" s="27">
        <f>2/9*7.8*M2*M2/4/P2</f>
        <v>0.29932018088000673</v>
      </c>
      <c r="V2" s="27">
        <f>L2*U2</f>
        <v>0.73733962039017198</v>
      </c>
    </row>
    <row r="3" spans="1:26" x14ac:dyDescent="0.25">
      <c r="A3" s="13">
        <v>3.0926703091981667</v>
      </c>
      <c r="B3" s="13">
        <v>2.08</v>
      </c>
      <c r="C3" s="12">
        <v>1.26</v>
      </c>
      <c r="D3" s="12">
        <f t="shared" ref="D3:D11" si="0">2.5 -C3</f>
        <v>1.24</v>
      </c>
      <c r="E3" s="13">
        <f t="shared" ref="E3:E11" si="1">2/9 * 9.8155 * POWER((B3/2), 2) * D3 /A3</f>
        <v>0.94592053223007777</v>
      </c>
      <c r="F3" s="12">
        <v>1.2413408160921213E-2</v>
      </c>
      <c r="G3">
        <f>SQRT(4*F3*F3 + 0.0001)</f>
        <v>2.6765104309127985E-2</v>
      </c>
      <c r="H3" s="12">
        <f t="shared" ref="H3:H11" si="2">A3*B3*C3/E3/2/1000</f>
        <v>4.2843294284128607E-3</v>
      </c>
      <c r="I3" s="27">
        <f t="shared" ref="I3:I11" si="3">2/9*2.5*B3*B3/4/E3</f>
        <v>0.63524246320380506</v>
      </c>
      <c r="J3" s="27">
        <f t="shared" ref="J3:J11" si="4">I3*A3</f>
        <v>1.9645955050923167</v>
      </c>
      <c r="K3" s="13">
        <f>G3*E3</f>
        <v>2.5317661713283892E-2</v>
      </c>
      <c r="L3" s="13">
        <v>3.0830893286992413</v>
      </c>
      <c r="M3" s="13">
        <v>0.93333333333333324</v>
      </c>
      <c r="N3" s="12">
        <v>1.26</v>
      </c>
      <c r="O3" s="12">
        <f t="shared" ref="O3:O11" si="5">7.8 -N3</f>
        <v>6.54</v>
      </c>
      <c r="P3" s="13">
        <f t="shared" ref="P3:P11" si="6">2/9 * 9.8155 * POWER((M3/2), 2) * O3 /L3</f>
        <v>1.0076393423911589</v>
      </c>
      <c r="Q3" s="12">
        <v>2.9450754468697552E-2</v>
      </c>
      <c r="R3">
        <f t="shared" ref="R3:R11" si="7">SQRT(4*Q3*Q3 + 0.0001)</f>
        <v>5.9744353332361333E-2</v>
      </c>
      <c r="S3" s="13">
        <f t="shared" ref="S3:S11" si="8">R3*P3</f>
        <v>6.020076090340562E-2</v>
      </c>
      <c r="T3" s="15">
        <f t="shared" ref="T3:T11" si="9">L3*M3*N3/P3/2000</f>
        <v>1.7991124889716889E-3</v>
      </c>
      <c r="U3" s="27">
        <f t="shared" ref="U3:U11" si="10">2/9*7.8*M3*M3/4/P3</f>
        <v>0.37461963383218672</v>
      </c>
      <c r="V3" s="27">
        <f t="shared" ref="V3:V11" si="11">L3*U3</f>
        <v>1.1549857953892322</v>
      </c>
    </row>
    <row r="4" spans="1:26" x14ac:dyDescent="0.25">
      <c r="A4" s="13">
        <v>6.9229972911885991</v>
      </c>
      <c r="B4" s="13">
        <v>2.0733333333333337</v>
      </c>
      <c r="C4" s="12">
        <v>1.256</v>
      </c>
      <c r="D4" s="12">
        <f t="shared" si="0"/>
        <v>1.244</v>
      </c>
      <c r="E4" s="12">
        <f t="shared" si="1"/>
        <v>0.42121555510059222</v>
      </c>
      <c r="F4" s="12">
        <v>1.0664388393425723E-2</v>
      </c>
      <c r="G4">
        <f>SQRT(4*F4*F4 + 0.0001)</f>
        <v>2.3556670376420629E-2</v>
      </c>
      <c r="H4" s="12">
        <f t="shared" si="2"/>
        <v>2.1400234607900595E-2</v>
      </c>
      <c r="I4" s="27">
        <f t="shared" si="3"/>
        <v>1.4174291586500436</v>
      </c>
      <c r="J4" s="27">
        <f t="shared" si="4"/>
        <v>9.8128582257859875</v>
      </c>
      <c r="K4" s="12">
        <f>G4*E4</f>
        <v>9.9224359889256916E-3</v>
      </c>
      <c r="L4" s="13">
        <v>3.8782309190587565</v>
      </c>
      <c r="M4" s="13">
        <v>0.70000000000000007</v>
      </c>
      <c r="N4" s="12">
        <v>1.256</v>
      </c>
      <c r="O4" s="12">
        <f t="shared" si="5"/>
        <v>6.5439999999999996</v>
      </c>
      <c r="P4" s="13">
        <f t="shared" si="6"/>
        <v>0.45086407145828111</v>
      </c>
      <c r="Q4" s="12">
        <v>3.6885555678165843E-2</v>
      </c>
      <c r="R4">
        <f t="shared" si="7"/>
        <v>7.4445798207476363E-2</v>
      </c>
      <c r="S4" s="13">
        <f t="shared" si="8"/>
        <v>3.3564935682784396E-2</v>
      </c>
      <c r="T4" s="15">
        <f t="shared" si="9"/>
        <v>3.7813399202646001E-3</v>
      </c>
      <c r="U4" s="27">
        <f t="shared" si="10"/>
        <v>0.47094755775628661</v>
      </c>
      <c r="V4" s="27">
        <f t="shared" si="11"/>
        <v>1.8264433797456403</v>
      </c>
    </row>
    <row r="5" spans="1:26" x14ac:dyDescent="0.25">
      <c r="A5" s="13">
        <v>6.8075110850631031</v>
      </c>
      <c r="B5" s="13">
        <v>2.0666666666666669</v>
      </c>
      <c r="C5" s="12">
        <v>1.256</v>
      </c>
      <c r="D5" s="12">
        <f t="shared" si="0"/>
        <v>1.244</v>
      </c>
      <c r="E5" s="12">
        <f t="shared" si="1"/>
        <v>0.42561097171895051</v>
      </c>
      <c r="F5" s="12">
        <v>1.5470424268750716E-2</v>
      </c>
      <c r="G5">
        <f>SQRT(4*F5*F5 + 0.0001)</f>
        <v>3.2516705064022162E-2</v>
      </c>
      <c r="H5" s="12">
        <f t="shared" si="2"/>
        <v>2.0758961369307761E-2</v>
      </c>
      <c r="I5" s="27">
        <f t="shared" si="3"/>
        <v>1.3937842677019434</v>
      </c>
      <c r="J5" s="27">
        <f t="shared" si="4"/>
        <v>9.4882018525675402</v>
      </c>
      <c r="K5" s="12">
        <f>G5*E5</f>
        <v>1.3839466439396991E-2</v>
      </c>
      <c r="L5" s="13">
        <v>6.4229281622092564</v>
      </c>
      <c r="M5" s="13">
        <v>0.91333333333333344</v>
      </c>
      <c r="N5" s="12">
        <v>1.256</v>
      </c>
      <c r="O5" s="12">
        <f t="shared" si="5"/>
        <v>6.5439999999999996</v>
      </c>
      <c r="P5" s="13">
        <f t="shared" si="6"/>
        <v>0.46345627267219375</v>
      </c>
      <c r="Q5" s="12">
        <v>2.4208940075586861E-2</v>
      </c>
      <c r="R5">
        <f t="shared" si="7"/>
        <v>4.9439772636344338E-2</v>
      </c>
      <c r="S5" s="13">
        <f t="shared" si="8"/>
        <v>2.2913172747800865E-2</v>
      </c>
      <c r="T5" s="15">
        <f t="shared" si="9"/>
        <v>7.9490138185369669E-3</v>
      </c>
      <c r="U5" s="27">
        <f t="shared" si="10"/>
        <v>0.77995931515358441</v>
      </c>
      <c r="V5" s="27">
        <f t="shared" si="11"/>
        <v>5.009622650677402</v>
      </c>
    </row>
    <row r="6" spans="1:26" x14ac:dyDescent="0.25">
      <c r="A6" s="13">
        <v>13.526515262372326</v>
      </c>
      <c r="B6" s="13">
        <v>2.08</v>
      </c>
      <c r="C6" s="12">
        <v>1.252</v>
      </c>
      <c r="D6" s="12">
        <f t="shared" si="0"/>
        <v>1.248</v>
      </c>
      <c r="E6" s="12">
        <f t="shared" si="1"/>
        <v>0.21766833270973243</v>
      </c>
      <c r="F6" s="12">
        <v>1.2413408160921213E-2</v>
      </c>
      <c r="G6">
        <f>SQRT(4*F6*F6 + 0.0001)</f>
        <v>2.6765104309127985E-2</v>
      </c>
      <c r="H6" s="12">
        <f t="shared" si="2"/>
        <v>8.0914870682253642E-2</v>
      </c>
      <c r="I6" s="27">
        <f t="shared" si="3"/>
        <v>2.7605710091517683</v>
      </c>
      <c r="J6" s="27">
        <f t="shared" si="4"/>
        <v>37.340905888153969</v>
      </c>
      <c r="K6" s="12">
        <f>G6*E6</f>
        <v>5.8259156297699637E-3</v>
      </c>
      <c r="L6" s="13">
        <v>15.254662307749463</v>
      </c>
      <c r="M6" s="13">
        <v>0.93333333333333324</v>
      </c>
      <c r="N6" s="12">
        <v>1.252</v>
      </c>
      <c r="O6" s="12">
        <f t="shared" si="5"/>
        <v>6.548</v>
      </c>
      <c r="P6" s="12">
        <f t="shared" si="6"/>
        <v>0.20390109035391357</v>
      </c>
      <c r="Q6" s="12">
        <v>2.3690177073967124E-2</v>
      </c>
      <c r="R6">
        <f t="shared" si="7"/>
        <v>4.8424146447652229E-2</v>
      </c>
      <c r="S6" s="12">
        <f t="shared" si="8"/>
        <v>9.8737362601338807E-3</v>
      </c>
      <c r="T6" s="15">
        <f t="shared" si="9"/>
        <v>4.3711343976652509E-2</v>
      </c>
      <c r="U6" s="27">
        <f t="shared" si="10"/>
        <v>1.8512970226215182</v>
      </c>
      <c r="V6" s="27">
        <f t="shared" si="11"/>
        <v>28.240910911433279</v>
      </c>
    </row>
    <row r="7" spans="1:26" x14ac:dyDescent="0.25">
      <c r="A7" s="13">
        <v>13.804996093824432</v>
      </c>
      <c r="B7" s="13">
        <v>2.08</v>
      </c>
      <c r="C7" s="12">
        <v>1.252</v>
      </c>
      <c r="D7" s="12">
        <f t="shared" si="0"/>
        <v>1.248</v>
      </c>
      <c r="E7" s="12">
        <f t="shared" si="1"/>
        <v>0.21327742539894254</v>
      </c>
      <c r="F7" s="12">
        <v>1.6654334688162291E-2</v>
      </c>
      <c r="G7">
        <f>SQRT(4*F7*F7 + 0.0001)</f>
        <v>3.4777398632176375E-2</v>
      </c>
      <c r="H7" s="12">
        <f t="shared" si="2"/>
        <v>8.4280881017874676E-2</v>
      </c>
      <c r="I7" s="27">
        <f t="shared" si="3"/>
        <v>2.8174050196119267</v>
      </c>
      <c r="J7" s="27">
        <f t="shared" si="4"/>
        <v>38.894265290463991</v>
      </c>
      <c r="K7" s="12">
        <f>G7*E7</f>
        <v>7.4172340423432834E-3</v>
      </c>
      <c r="L7" s="13">
        <v>15.552249996976624</v>
      </c>
      <c r="M7" s="13">
        <v>0.9</v>
      </c>
      <c r="N7" s="12">
        <v>1.252</v>
      </c>
      <c r="O7" s="12">
        <f t="shared" si="5"/>
        <v>6.548</v>
      </c>
      <c r="P7" s="12">
        <f t="shared" si="6"/>
        <v>0.18596892607579313</v>
      </c>
      <c r="Q7" s="12">
        <v>2.8688765527462357E-2</v>
      </c>
      <c r="R7">
        <f t="shared" si="7"/>
        <v>5.8242433585478294E-2</v>
      </c>
      <c r="S7" s="12">
        <f t="shared" si="8"/>
        <v>1.0831282825932103E-2</v>
      </c>
      <c r="T7" s="15">
        <f t="shared" si="9"/>
        <v>4.7116138341980585E-2</v>
      </c>
      <c r="U7" s="27">
        <f t="shared" si="10"/>
        <v>1.887412093012502</v>
      </c>
      <c r="V7" s="27">
        <f t="shared" si="11"/>
        <v>29.353504717847329</v>
      </c>
    </row>
    <row r="8" spans="1:26" x14ac:dyDescent="0.25">
      <c r="A8" s="13">
        <v>23.752969121140143</v>
      </c>
      <c r="B8" s="13">
        <v>2.0933333333333333</v>
      </c>
      <c r="C8" s="12">
        <v>1.2470000000000001</v>
      </c>
      <c r="D8" s="12">
        <f t="shared" si="0"/>
        <v>1.2529999999999999</v>
      </c>
      <c r="E8" s="12">
        <f t="shared" si="1"/>
        <v>0.12605203667715897</v>
      </c>
      <c r="F8" s="12">
        <v>1.527334880035899E-2</v>
      </c>
      <c r="G8">
        <f>SQRT(4*F8*F8 + 0.0001)</f>
        <v>3.21418844237501E-2</v>
      </c>
      <c r="H8" s="12">
        <f t="shared" si="2"/>
        <v>0.24594776697806695</v>
      </c>
      <c r="I8" s="27">
        <f t="shared" si="3"/>
        <v>4.8283018663902375</v>
      </c>
      <c r="J8" s="27">
        <f t="shared" si="4"/>
        <v>114.68650513991064</v>
      </c>
      <c r="K8" s="12">
        <f>G8*E8</f>
        <v>4.0515499942555527E-3</v>
      </c>
      <c r="L8" s="13">
        <v>26.794938016528924</v>
      </c>
      <c r="M8" s="13">
        <v>0.92333333333333334</v>
      </c>
      <c r="N8" s="12">
        <v>1.2470000000000001</v>
      </c>
      <c r="O8" s="12">
        <f t="shared" si="5"/>
        <v>6.5529999999999999</v>
      </c>
      <c r="P8" s="12">
        <f t="shared" si="6"/>
        <v>0.1136957843798863</v>
      </c>
      <c r="Q8" s="12">
        <v>2.5527320620452956E-2</v>
      </c>
      <c r="R8">
        <f t="shared" si="7"/>
        <v>5.2024767104116965E-2</v>
      </c>
      <c r="S8" s="12">
        <f t="shared" si="8"/>
        <v>5.9149967030834843E-3</v>
      </c>
      <c r="T8" s="15">
        <f t="shared" si="9"/>
        <v>0.13567610480916498</v>
      </c>
      <c r="U8" s="27">
        <f t="shared" si="10"/>
        <v>3.2493370615356088</v>
      </c>
      <c r="V8" s="27">
        <f t="shared" si="11"/>
        <v>87.065785158656865</v>
      </c>
    </row>
    <row r="9" spans="1:26" x14ac:dyDescent="0.25">
      <c r="A9" s="13">
        <v>25.745185617155506</v>
      </c>
      <c r="B9" s="13">
        <v>2.1</v>
      </c>
      <c r="C9" s="12">
        <v>1.2470000000000001</v>
      </c>
      <c r="D9" s="12">
        <f t="shared" si="0"/>
        <v>1.2529999999999999</v>
      </c>
      <c r="E9" s="12">
        <f t="shared" si="1"/>
        <v>0.11703979580136034</v>
      </c>
      <c r="F9" s="12">
        <v>1.2295185226055296E-2</v>
      </c>
      <c r="G9">
        <f>SQRT(4*F9*F9 + 0.0001)</f>
        <v>2.6545928482010827E-2</v>
      </c>
      <c r="H9" s="12">
        <f t="shared" si="2"/>
        <v>0.28801706767358148</v>
      </c>
      <c r="I9" s="27">
        <f t="shared" si="3"/>
        <v>5.2332627189433376</v>
      </c>
      <c r="J9" s="27">
        <f t="shared" si="4"/>
        <v>134.73132008253614</v>
      </c>
      <c r="K9" s="12">
        <f>G9*E9</f>
        <v>3.1069300488920626E-3</v>
      </c>
      <c r="L9" s="13">
        <v>26.103351575049686</v>
      </c>
      <c r="M9" s="13">
        <v>0.94</v>
      </c>
      <c r="N9" s="12">
        <v>1.2470000000000001</v>
      </c>
      <c r="O9" s="12">
        <f t="shared" si="5"/>
        <v>6.5529999999999999</v>
      </c>
      <c r="P9" s="12">
        <f t="shared" si="6"/>
        <v>0.1209593723668367</v>
      </c>
      <c r="Q9" s="12">
        <v>2.7467966994378822E-2</v>
      </c>
      <c r="R9">
        <f t="shared" si="7"/>
        <v>5.5838667992862592E-2</v>
      </c>
      <c r="S9" s="12">
        <f t="shared" si="8"/>
        <v>6.7542102342168318E-3</v>
      </c>
      <c r="T9" s="15">
        <f t="shared" si="9"/>
        <v>0.12647976775394842</v>
      </c>
      <c r="U9" s="27">
        <f t="shared" si="10"/>
        <v>3.1654705695076069</v>
      </c>
      <c r="V9" s="27">
        <f t="shared" si="11"/>
        <v>82.629391176329818</v>
      </c>
    </row>
    <row r="10" spans="1:26" x14ac:dyDescent="0.25">
      <c r="A10" s="13">
        <v>40.994623655913983</v>
      </c>
      <c r="B10" s="13">
        <v>2.0866666666666664</v>
      </c>
      <c r="C10" s="12">
        <v>1.2430000000000001</v>
      </c>
      <c r="D10" s="12">
        <f t="shared" si="0"/>
        <v>1.2569999999999999</v>
      </c>
      <c r="E10" s="12">
        <f t="shared" si="1"/>
        <v>7.2803867929095781E-2</v>
      </c>
      <c r="F10" s="12">
        <v>1.5322145441893684E-2</v>
      </c>
      <c r="G10">
        <f>SQRT(4*F10*F10 + 0.0001)</f>
        <v>3.2234648497698463E-2</v>
      </c>
      <c r="H10" s="12">
        <f t="shared" si="2"/>
        <v>0.73024175494262678</v>
      </c>
      <c r="I10" s="27">
        <f t="shared" si="3"/>
        <v>8.3065217657008859</v>
      </c>
      <c r="J10" s="27">
        <f t="shared" si="4"/>
        <v>340.52273367456593</v>
      </c>
      <c r="K10" s="12">
        <f>G10*E10</f>
        <v>2.3468070919672648E-3</v>
      </c>
      <c r="L10" s="13">
        <v>36.164134527983379</v>
      </c>
      <c r="M10" s="13">
        <v>0.89333333333333342</v>
      </c>
      <c r="N10" s="12">
        <v>1.2430000000000001</v>
      </c>
      <c r="O10" s="12">
        <f t="shared" si="5"/>
        <v>6.5569999999999995</v>
      </c>
      <c r="P10" s="12">
        <f t="shared" si="6"/>
        <v>7.8903107638743045E-2</v>
      </c>
      <c r="Q10" s="12">
        <v>2.4750931271308955E-2</v>
      </c>
      <c r="R10">
        <f t="shared" si="7"/>
        <v>5.0501825661932641E-2</v>
      </c>
      <c r="S10" s="12">
        <f t="shared" si="8"/>
        <v>3.9847509861565067E-3</v>
      </c>
      <c r="T10" s="15">
        <f t="shared" si="9"/>
        <v>0.25447120126238953</v>
      </c>
      <c r="U10" s="27">
        <f t="shared" si="10"/>
        <v>4.3828344612558068</v>
      </c>
      <c r="V10" s="27">
        <f t="shared" si="11"/>
        <v>158.50141507073656</v>
      </c>
    </row>
    <row r="11" spans="1:26" x14ac:dyDescent="0.25">
      <c r="A11" s="13">
        <v>41.902367483762831</v>
      </c>
      <c r="B11" s="13">
        <v>2.0866666666666664</v>
      </c>
      <c r="C11" s="12">
        <v>1.2430000000000001</v>
      </c>
      <c r="D11" s="12">
        <f t="shared" si="0"/>
        <v>1.2569999999999999</v>
      </c>
      <c r="E11" s="12">
        <f t="shared" si="1"/>
        <v>7.1226695427285033E-2</v>
      </c>
      <c r="F11" s="12">
        <v>1.0596245336598724E-2</v>
      </c>
      <c r="G11">
        <f>SQRT(4*F11*F11 + 0.0001)</f>
        <v>2.3433345064961614E-2</v>
      </c>
      <c r="H11" s="12">
        <f t="shared" si="2"/>
        <v>0.76293928341836459</v>
      </c>
      <c r="I11" s="27">
        <f t="shared" si="3"/>
        <v>8.4904530520811505</v>
      </c>
      <c r="J11" s="27">
        <f t="shared" si="4"/>
        <v>355.77008389194009</v>
      </c>
      <c r="K11" s="12">
        <f>G11*E11</f>
        <v>1.6690797317844936E-3</v>
      </c>
      <c r="L11" s="13">
        <v>32.785511527302056</v>
      </c>
      <c r="M11" s="13">
        <v>0.84</v>
      </c>
      <c r="N11" s="12">
        <v>1.2430000000000001</v>
      </c>
      <c r="O11" s="12">
        <f t="shared" si="5"/>
        <v>6.5569999999999995</v>
      </c>
      <c r="P11" s="12">
        <f t="shared" si="6"/>
        <v>7.695231935298745E-2</v>
      </c>
      <c r="Q11" s="12">
        <v>3.0737963065138242E-2</v>
      </c>
      <c r="R11">
        <f t="shared" si="7"/>
        <v>6.2283942501861672E-2</v>
      </c>
      <c r="S11" s="12">
        <f t="shared" si="8"/>
        <v>4.7928938339663676E-3</v>
      </c>
      <c r="T11" s="15">
        <f t="shared" si="9"/>
        <v>0.22242349927661839</v>
      </c>
      <c r="U11" s="27">
        <f t="shared" si="10"/>
        <v>3.9733695172649748</v>
      </c>
      <c r="V11" s="27">
        <f t="shared" si="11"/>
        <v>130.26895211052144</v>
      </c>
    </row>
    <row r="15" spans="1:26" x14ac:dyDescent="0.25">
      <c r="M15" s="28" t="s">
        <v>35</v>
      </c>
      <c r="N15" s="28" t="s">
        <v>32</v>
      </c>
      <c r="O15" s="28"/>
      <c r="P15" s="28" t="s">
        <v>33</v>
      </c>
      <c r="Q15" s="28"/>
      <c r="R15" s="28" t="s">
        <v>36</v>
      </c>
      <c r="T15" s="28" t="s">
        <v>44</v>
      </c>
      <c r="U15" s="28" t="s">
        <v>42</v>
      </c>
      <c r="V15" s="28"/>
      <c r="W15" s="28" t="s">
        <v>43</v>
      </c>
      <c r="X15" s="28"/>
      <c r="Y15" s="28" t="s">
        <v>45</v>
      </c>
      <c r="Z15" s="28"/>
    </row>
    <row r="16" spans="1:26" x14ac:dyDescent="0.25">
      <c r="H16">
        <f>1/293</f>
        <v>3.4129692832764505E-3</v>
      </c>
      <c r="I16">
        <f>LOG(0.98, EXP(1))</f>
        <v>-2.0202707317519466E-2</v>
      </c>
      <c r="J16">
        <f>ABS(0.04*I16)</f>
        <v>8.0810829270077864E-4</v>
      </c>
      <c r="M16" s="28"/>
      <c r="N16" s="11" t="s">
        <v>29</v>
      </c>
      <c r="O16" s="11" t="s">
        <v>34</v>
      </c>
      <c r="P16" s="11" t="s">
        <v>29</v>
      </c>
      <c r="Q16" s="11" t="s">
        <v>34</v>
      </c>
      <c r="R16" s="28"/>
      <c r="T16" s="28"/>
      <c r="U16" s="11" t="s">
        <v>32</v>
      </c>
      <c r="V16" s="11" t="s">
        <v>33</v>
      </c>
      <c r="W16" s="11" t="s">
        <v>32</v>
      </c>
      <c r="X16" s="11" t="s">
        <v>33</v>
      </c>
      <c r="Y16" s="11" t="s">
        <v>32</v>
      </c>
      <c r="Z16" s="11" t="s">
        <v>33</v>
      </c>
    </row>
    <row r="17" spans="8:26" x14ac:dyDescent="0.25">
      <c r="H17">
        <f>1/303</f>
        <v>3.3003300330033004E-3</v>
      </c>
      <c r="I17">
        <f>LOG(0.44, EXP(1))</f>
        <v>-0.82098055206983023</v>
      </c>
      <c r="J17">
        <f t="shared" ref="J17:J20" si="12">ABS(0.04*I17)</f>
        <v>3.2839222082793211E-2</v>
      </c>
      <c r="M17" s="28">
        <v>20</v>
      </c>
      <c r="N17" s="20">
        <v>0.9412272208123712</v>
      </c>
      <c r="O17" s="20">
        <v>3.9884037649376827E-2</v>
      </c>
      <c r="P17" s="20">
        <v>1.0215148176813873</v>
      </c>
      <c r="Q17" s="20">
        <v>6.3623970169267241E-2</v>
      </c>
      <c r="R17" s="28" t="s">
        <v>37</v>
      </c>
      <c r="T17" s="28">
        <v>20</v>
      </c>
      <c r="U17" s="21">
        <v>4.2856883784197514E-3</v>
      </c>
      <c r="V17" s="29">
        <v>1.2761647275983748E-3</v>
      </c>
      <c r="W17" s="30">
        <v>0.63432420639220011</v>
      </c>
      <c r="X17" s="30">
        <v>0.29932018088000673</v>
      </c>
      <c r="Y17" s="30">
        <v>1.9589198790249014</v>
      </c>
      <c r="Z17" s="30">
        <v>0.73733962039017198</v>
      </c>
    </row>
    <row r="18" spans="8:26" x14ac:dyDescent="0.25">
      <c r="H18">
        <f>1/313</f>
        <v>3.1948881789137379E-3</v>
      </c>
      <c r="I18">
        <f>LOG(0.205, EXP(1))</f>
        <v>-1.584745299843729</v>
      </c>
      <c r="J18">
        <f t="shared" si="12"/>
        <v>6.3389811993749157E-2</v>
      </c>
      <c r="M18" s="28"/>
      <c r="N18" s="20">
        <v>0.94592053223007777</v>
      </c>
      <c r="O18" s="20">
        <v>2.5317661713283892E-2</v>
      </c>
      <c r="P18" s="20">
        <v>1.0076393423911589</v>
      </c>
      <c r="Q18" s="20">
        <v>6.020076090340562E-2</v>
      </c>
      <c r="R18" s="28"/>
      <c r="T18" s="28"/>
      <c r="U18" s="21">
        <v>4.2843294284128607E-3</v>
      </c>
      <c r="V18" s="29">
        <v>1.7991124889716889E-3</v>
      </c>
      <c r="W18" s="30">
        <v>0.63524246320380506</v>
      </c>
      <c r="X18" s="30">
        <v>0.37461963383218672</v>
      </c>
      <c r="Y18" s="30">
        <v>1.9645955050923167</v>
      </c>
      <c r="Z18" s="30">
        <v>1.1549857953892322</v>
      </c>
    </row>
    <row r="19" spans="8:26" x14ac:dyDescent="0.25">
      <c r="H19">
        <f>1/323</f>
        <v>3.0959752321981426E-3</v>
      </c>
      <c r="I19">
        <f>LOG(0.119, EXP(1))</f>
        <v>-2.1286317858706076</v>
      </c>
      <c r="J19">
        <f t="shared" si="12"/>
        <v>8.514527143482431E-2</v>
      </c>
      <c r="M19" s="28">
        <v>30</v>
      </c>
      <c r="N19" s="21">
        <v>0.42121555510059222</v>
      </c>
      <c r="O19" s="21">
        <v>9.9224359889256916E-3</v>
      </c>
      <c r="P19" s="20">
        <v>0.45086407145828111</v>
      </c>
      <c r="Q19" s="20">
        <v>3.3564935682784396E-2</v>
      </c>
      <c r="R19" s="28" t="s">
        <v>38</v>
      </c>
      <c r="T19" s="28">
        <v>30</v>
      </c>
      <c r="U19" s="21">
        <v>2.1400234607900595E-2</v>
      </c>
      <c r="V19" s="29">
        <v>3.7813399202646001E-3</v>
      </c>
      <c r="W19" s="30">
        <v>1.4174291586500436</v>
      </c>
      <c r="X19" s="30">
        <v>0.47094755775628661</v>
      </c>
      <c r="Y19" s="30">
        <v>9.8128582257859875</v>
      </c>
      <c r="Z19" s="30">
        <v>1.8264433797456403</v>
      </c>
    </row>
    <row r="20" spans="8:26" x14ac:dyDescent="0.25">
      <c r="H20">
        <f>1/333</f>
        <v>3.003003003003003E-3</v>
      </c>
      <c r="I20">
        <f>LOG(0.075, EXP(1))</f>
        <v>-2.5902671654458267</v>
      </c>
      <c r="J20">
        <f t="shared" si="12"/>
        <v>0.10361068661783307</v>
      </c>
      <c r="M20" s="28"/>
      <c r="N20" s="21">
        <v>0.42561097171895051</v>
      </c>
      <c r="O20" s="21">
        <v>1.3839466439396991E-2</v>
      </c>
      <c r="P20" s="20">
        <v>0.46345627267219375</v>
      </c>
      <c r="Q20" s="20">
        <v>2.2913172747800865E-2</v>
      </c>
      <c r="R20" s="28"/>
      <c r="T20" s="28"/>
      <c r="U20" s="21">
        <v>2.0758961369307761E-2</v>
      </c>
      <c r="V20" s="29">
        <v>7.9490138185369669E-3</v>
      </c>
      <c r="W20" s="30">
        <v>1.3937842677019434</v>
      </c>
      <c r="X20" s="30">
        <v>0.77995931515358441</v>
      </c>
      <c r="Y20" s="30">
        <v>9.4882018525675402</v>
      </c>
      <c r="Z20" s="30">
        <v>5.009622650677402</v>
      </c>
    </row>
    <row r="21" spans="8:26" x14ac:dyDescent="0.25">
      <c r="M21" s="28">
        <v>40</v>
      </c>
      <c r="N21" s="21">
        <v>0.21766833270973243</v>
      </c>
      <c r="O21" s="21">
        <v>5.8259156297699637E-3</v>
      </c>
      <c r="P21" s="21">
        <v>0.20390109035391357</v>
      </c>
      <c r="Q21" s="21">
        <v>9.8737362601338807E-3</v>
      </c>
      <c r="R21" s="28" t="s">
        <v>39</v>
      </c>
      <c r="T21" s="28">
        <v>40</v>
      </c>
      <c r="U21" s="21">
        <v>8.0914870682253642E-2</v>
      </c>
      <c r="V21" s="29">
        <v>4.3711343976652509E-2</v>
      </c>
      <c r="W21" s="30">
        <v>2.7605710091517683</v>
      </c>
      <c r="X21" s="30">
        <v>1.8512970226215182</v>
      </c>
      <c r="Y21" s="30">
        <v>37.340905888153969</v>
      </c>
      <c r="Z21" s="30">
        <v>28.240910911433279</v>
      </c>
    </row>
    <row r="22" spans="8:26" x14ac:dyDescent="0.25">
      <c r="M22" s="28"/>
      <c r="N22" s="21">
        <v>0.21327742539894254</v>
      </c>
      <c r="O22" s="21">
        <v>7.4172340423432834E-3</v>
      </c>
      <c r="P22" s="21">
        <v>0.18596892607579313</v>
      </c>
      <c r="Q22" s="21">
        <v>1.0831282825932103E-2</v>
      </c>
      <c r="R22" s="28"/>
      <c r="T22" s="28"/>
      <c r="U22" s="21">
        <v>8.4280881017874676E-2</v>
      </c>
      <c r="V22" s="29">
        <v>4.7116138341980585E-2</v>
      </c>
      <c r="W22" s="30">
        <v>2.8174050196119267</v>
      </c>
      <c r="X22" s="30">
        <v>1.887412093012502</v>
      </c>
      <c r="Y22" s="30">
        <v>38.894265290463991</v>
      </c>
      <c r="Z22" s="30">
        <v>29.353504717847329</v>
      </c>
    </row>
    <row r="23" spans="8:26" x14ac:dyDescent="0.25">
      <c r="M23" s="28">
        <v>50</v>
      </c>
      <c r="N23" s="21">
        <v>0.12605203667715897</v>
      </c>
      <c r="O23" s="21">
        <v>4.0515499942555527E-3</v>
      </c>
      <c r="P23" s="21">
        <v>0.1136957843798863</v>
      </c>
      <c r="Q23" s="21">
        <v>5.9149967030834843E-3</v>
      </c>
      <c r="R23" s="28" t="s">
        <v>40</v>
      </c>
      <c r="T23" s="28">
        <v>50</v>
      </c>
      <c r="U23" s="21">
        <v>0.24594776697806695</v>
      </c>
      <c r="V23" s="29">
        <v>0.13567610480916498</v>
      </c>
      <c r="W23" s="30">
        <v>4.8283018663902375</v>
      </c>
      <c r="X23" s="30">
        <v>3.2493370615356088</v>
      </c>
      <c r="Y23" s="30">
        <v>114.68650513991064</v>
      </c>
      <c r="Z23" s="30">
        <v>87.065785158656865</v>
      </c>
    </row>
    <row r="24" spans="8:26" x14ac:dyDescent="0.25">
      <c r="M24" s="28"/>
      <c r="N24" s="21">
        <v>0.11703979580136034</v>
      </c>
      <c r="O24" s="21">
        <v>3.1069300488920626E-3</v>
      </c>
      <c r="P24" s="21">
        <v>0.1209593723668367</v>
      </c>
      <c r="Q24" s="21">
        <v>6.7542102342168318E-3</v>
      </c>
      <c r="R24" s="28"/>
      <c r="T24" s="28"/>
      <c r="U24" s="21">
        <v>0.28801706767358148</v>
      </c>
      <c r="V24" s="29">
        <v>0.12647976775394842</v>
      </c>
      <c r="W24" s="30">
        <v>5.2332627189433376</v>
      </c>
      <c r="X24" s="30">
        <v>3.1654705695076069</v>
      </c>
      <c r="Y24" s="30">
        <v>134.73132008253614</v>
      </c>
      <c r="Z24" s="30">
        <v>82.629391176329818</v>
      </c>
    </row>
    <row r="25" spans="8:26" x14ac:dyDescent="0.25">
      <c r="M25" s="28">
        <v>60</v>
      </c>
      <c r="N25" s="21">
        <v>7.2803867929095781E-2</v>
      </c>
      <c r="O25" s="21">
        <v>2.3468070919672648E-3</v>
      </c>
      <c r="P25" s="21">
        <v>7.8903107638743045E-2</v>
      </c>
      <c r="Q25" s="21">
        <v>3.9847509861565067E-3</v>
      </c>
      <c r="R25" s="28" t="s">
        <v>41</v>
      </c>
      <c r="T25" s="28">
        <v>60</v>
      </c>
      <c r="U25" s="21">
        <v>0.73024175494262678</v>
      </c>
      <c r="V25" s="29">
        <v>0.25447120126238953</v>
      </c>
      <c r="W25" s="30">
        <v>8.3065217657008859</v>
      </c>
      <c r="X25" s="30">
        <v>4.3828344612558068</v>
      </c>
      <c r="Y25" s="30">
        <v>340.52273367456593</v>
      </c>
      <c r="Z25" s="30">
        <v>158.50141507073656</v>
      </c>
    </row>
    <row r="26" spans="8:26" x14ac:dyDescent="0.25">
      <c r="M26" s="28"/>
      <c r="N26" s="21">
        <v>7.1226695427285033E-2</v>
      </c>
      <c r="O26" s="21">
        <v>1.6690797317844936E-3</v>
      </c>
      <c r="P26" s="21">
        <v>7.695231935298745E-2</v>
      </c>
      <c r="Q26" s="21">
        <v>4.7928938339663676E-3</v>
      </c>
      <c r="R26" s="28"/>
      <c r="T26" s="28"/>
      <c r="U26" s="21">
        <v>0.76293928341836459</v>
      </c>
      <c r="V26" s="29">
        <v>0.22242349927661839</v>
      </c>
      <c r="W26" s="30">
        <v>8.4904530520811505</v>
      </c>
      <c r="X26" s="30">
        <v>3.9733695172649748</v>
      </c>
      <c r="Y26" s="30">
        <v>355.77008389194009</v>
      </c>
      <c r="Z26" s="30">
        <v>130.26895211052144</v>
      </c>
    </row>
  </sheetData>
  <mergeCells count="23">
    <mergeCell ref="W15:X15"/>
    <mergeCell ref="Y15:Z15"/>
    <mergeCell ref="T17:T18"/>
    <mergeCell ref="T19:T20"/>
    <mergeCell ref="T21:T22"/>
    <mergeCell ref="T23:T24"/>
    <mergeCell ref="T25:T26"/>
    <mergeCell ref="U15:V15"/>
    <mergeCell ref="T15:T16"/>
    <mergeCell ref="M25:M26"/>
    <mergeCell ref="M15:M16"/>
    <mergeCell ref="R17:R18"/>
    <mergeCell ref="R19:R20"/>
    <mergeCell ref="R21:R22"/>
    <mergeCell ref="R23:R24"/>
    <mergeCell ref="R25:R26"/>
    <mergeCell ref="R15:R16"/>
    <mergeCell ref="N15:O15"/>
    <mergeCell ref="P15:Q15"/>
    <mergeCell ref="M17:M18"/>
    <mergeCell ref="M19:M20"/>
    <mergeCell ref="M21:M22"/>
    <mergeCell ref="M23:M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84B6-1226-47F4-B267-B8A28BB7DBB6}">
  <dimension ref="A1:F12"/>
  <sheetViews>
    <sheetView workbookViewId="0">
      <selection activeCell="E8" sqref="E8:E12"/>
    </sheetView>
  </sheetViews>
  <sheetFormatPr defaultRowHeight="15" x14ac:dyDescent="0.25"/>
  <cols>
    <col min="2" max="2" width="9.140625" style="2"/>
    <col min="5" max="5" width="27.42578125" customWidth="1"/>
  </cols>
  <sheetData>
    <row r="1" spans="1:6" x14ac:dyDescent="0.25">
      <c r="A1" s="6" t="s">
        <v>14</v>
      </c>
      <c r="B1" s="3" t="s">
        <v>15</v>
      </c>
      <c r="E1" t="s">
        <v>12</v>
      </c>
    </row>
    <row r="2" spans="1:6" x14ac:dyDescent="0.25">
      <c r="D2" t="s">
        <v>6</v>
      </c>
      <c r="E2">
        <v>-4.2299999999999998E-4</v>
      </c>
    </row>
    <row r="3" spans="1:6" x14ac:dyDescent="0.25">
      <c r="D3" t="s">
        <v>7</v>
      </c>
      <c r="E3">
        <v>20</v>
      </c>
    </row>
    <row r="4" spans="1:6" x14ac:dyDescent="0.25">
      <c r="D4" t="s">
        <v>8</v>
      </c>
      <c r="E4">
        <v>1.26</v>
      </c>
    </row>
    <row r="5" spans="1:6" x14ac:dyDescent="0.25">
      <c r="D5" t="s">
        <v>9</v>
      </c>
      <c r="E5" s="7">
        <v>60</v>
      </c>
      <c r="F5" t="s">
        <v>11</v>
      </c>
    </row>
    <row r="6" spans="1:6" x14ac:dyDescent="0.25">
      <c r="D6" t="s">
        <v>10</v>
      </c>
      <c r="E6" s="8">
        <f>E4 + (E5-E3)*E2</f>
        <v>1.24308</v>
      </c>
      <c r="F6" t="s">
        <v>13</v>
      </c>
    </row>
    <row r="8" spans="1:6" x14ac:dyDescent="0.25">
      <c r="E8" s="12">
        <v>1.26</v>
      </c>
    </row>
    <row r="9" spans="1:6" x14ac:dyDescent="0.25">
      <c r="E9" s="12">
        <v>1.256</v>
      </c>
    </row>
    <row r="10" spans="1:6" x14ac:dyDescent="0.25">
      <c r="E10" s="12">
        <v>1.252</v>
      </c>
    </row>
    <row r="11" spans="1:6" x14ac:dyDescent="0.25">
      <c r="E11" s="12">
        <v>1.2470000000000001</v>
      </c>
    </row>
    <row r="12" spans="1:6" x14ac:dyDescent="0.25">
      <c r="E12" s="12">
        <v>1.2430000000000001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Диаметры шариков</vt:lpstr>
      <vt:lpstr>Погрешности</vt:lpstr>
      <vt:lpstr>Внешние параметры</vt:lpstr>
      <vt:lpstr>Время падения</vt:lpstr>
      <vt:lpstr>Лист1</vt:lpstr>
      <vt:lpstr>Плотность жидкости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Рудачихин Павел</dc:creator>
  <cp:lastModifiedBy>Павел Рудачихин</cp:lastModifiedBy>
  <dcterms:created xsi:type="dcterms:W3CDTF">2015-06-05T18:19:34Z</dcterms:created>
  <dcterms:modified xsi:type="dcterms:W3CDTF">2026-04-11T19:21:14Z</dcterms:modified>
</cp:coreProperties>
</file>