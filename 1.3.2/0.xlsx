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3.2\Данные\"/>
    </mc:Choice>
  </mc:AlternateContent>
  <xr:revisionPtr revIDLastSave="0" documentId="13_ncr:1_{6BF0BB2B-E3A8-4DF1-A2CA-8D349E0B71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12" i="1"/>
  <c r="J13" i="1"/>
  <c r="J14" i="1"/>
  <c r="J15" i="1"/>
  <c r="J16" i="1"/>
  <c r="J17" i="1"/>
  <c r="J18" i="1"/>
  <c r="J19" i="1"/>
  <c r="J20" i="1"/>
  <c r="J22" i="1"/>
  <c r="J23" i="1"/>
  <c r="J24" i="1"/>
  <c r="J25" i="1"/>
  <c r="J26" i="1"/>
  <c r="J27" i="1"/>
  <c r="J28" i="1"/>
  <c r="J29" i="1"/>
  <c r="J30" i="1"/>
  <c r="J3" i="1"/>
  <c r="J4" i="1"/>
  <c r="J5" i="1"/>
  <c r="J6" i="1"/>
  <c r="J7" i="1"/>
  <c r="J8" i="1"/>
  <c r="J9" i="1"/>
  <c r="J10" i="1"/>
  <c r="I3" i="1"/>
  <c r="I4" i="1"/>
  <c r="I5" i="1"/>
  <c r="I6" i="1"/>
  <c r="I7" i="1"/>
  <c r="I8" i="1"/>
  <c r="I9" i="1"/>
  <c r="I10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2" i="1"/>
  <c r="D32" i="1"/>
  <c r="H3" i="1"/>
  <c r="H4" i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0" i="1"/>
  <c r="D33" i="1"/>
  <c r="G2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F26" i="1"/>
  <c r="F27" i="1"/>
  <c r="F28" i="1"/>
  <c r="F29" i="1"/>
  <c r="F30" i="1"/>
  <c r="F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2" i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2" i="1"/>
  <c r="C23" i="1"/>
  <c r="C24" i="1" s="1"/>
  <c r="C25" i="1" s="1"/>
  <c r="C26" i="1" s="1"/>
  <c r="C13" i="1"/>
  <c r="C14" i="1" s="1"/>
  <c r="C15" i="1" s="1"/>
  <c r="C16" i="1" s="1"/>
  <c r="C3" i="1"/>
  <c r="C4" i="1" s="1"/>
  <c r="C5" i="1" s="1"/>
  <c r="C6" i="1" s="1"/>
</calcChain>
</file>

<file path=xl/sharedStrings.xml><?xml version="1.0" encoding="utf-8"?>
<sst xmlns="http://schemas.openxmlformats.org/spreadsheetml/2006/main" count="11" uniqueCount="11">
  <si>
    <t>d, мм</t>
  </si>
  <si>
    <t>m, г</t>
  </si>
  <si>
    <t>dm, г</t>
  </si>
  <si>
    <t>M</t>
  </si>
  <si>
    <t>угол</t>
  </si>
  <si>
    <t>L</t>
  </si>
  <si>
    <t>em</t>
  </si>
  <si>
    <t>ed</t>
  </si>
  <si>
    <t>r</t>
  </si>
  <si>
    <t>e угол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</si>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</sst>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6" workbookViewId="0">
      <selection activeCell="K2" sqref="K2"/>
    </sheetView>
  </sheetViews>
  <sheetFormatPr defaultRowHeight="15" x14ac:dyDescent="0.25"/>
  <cols>
    <col min="3" max="3" width="9.5703125" bestFit="1" customWidth="1"/>
    <col min="4" max="5" width="9.5703125" style="4" customWidth="1"/>
    <col min="6" max="6" width="9.140625" style="3"/>
    <col min="7" max="7" width="9.5703125" bestFit="1" customWidth="1"/>
    <col min="8" max="8" width="9.140625" style="3"/>
  </cols>
  <sheetData>
    <row r="1" spans="1:10" x14ac:dyDescent="0.25">
      <c r="A1" t="s">
        <v>1</v>
      </c>
      <c r="B1" t="s">
        <v>0</v>
      </c>
      <c r="C1" t="s">
        <v>2</v>
      </c>
      <c r="D1" s="4" t="s">
        <v>6</v>
      </c>
      <c r="E1" s="4" t="s">
        <v>7</v>
      </c>
      <c r="F1" s="3" t="s">
        <v>4</v>
      </c>
      <c r="G1" t="s">
        <v>9</v>
      </c>
      <c r="H1" s="3" t="s">
        <v>3</v>
      </c>
      <c r="I1" t="s">
        <v>10</v>
      </c>
    </row>
    <row r="2" spans="1:10" x14ac:dyDescent="0.25">
      <c r="A2" s="2">
        <v>100.4</v>
      </c>
      <c r="B2">
        <v>51</v>
      </c>
      <c r="C2" s="2">
        <v>0.3</v>
      </c>
      <c r="D2" s="4">
        <f>C2/A2</f>
        <v>2.9880478087649398E-3</v>
      </c>
      <c r="E2" s="4">
        <f>1/B2</f>
        <v>1.9607843137254902E-2</v>
      </c>
      <c r="F2" s="3">
        <f>B2/$B$33</f>
        <v>3.3116883116883114E-2</v>
      </c>
      <c r="G2" s="4">
        <f>SQRT(E2*E2 +$D$33*$D$33)</f>
        <v>1.9618592425579524E-2</v>
      </c>
      <c r="H2" s="3">
        <f>2*A2/1000*9.8*$B$32/1000</f>
        <v>0.10547622400000002</v>
      </c>
      <c r="I2" s="4">
        <f>SQRT(D2*D2+$D$32*$D$32)</f>
        <v>3.5226638191073883E-3</v>
      </c>
      <c r="J2">
        <f>H2/F2</f>
        <v>3.1849683325490203</v>
      </c>
    </row>
    <row r="3" spans="1:10" x14ac:dyDescent="0.25">
      <c r="A3" s="2">
        <v>200.5</v>
      </c>
      <c r="B3">
        <v>104</v>
      </c>
      <c r="C3" s="2">
        <f>SQRT(0.3*0.3 + C2*C2)</f>
        <v>0.42426406871192851</v>
      </c>
      <c r="D3" s="4">
        <f t="shared" ref="D3:D30" si="0">C3/A3</f>
        <v>2.1160302678899178E-3</v>
      </c>
      <c r="E3" s="4">
        <f t="shared" ref="E3:E30" si="1">1/B3</f>
        <v>9.6153846153846159E-3</v>
      </c>
      <c r="F3" s="3">
        <f t="shared" ref="F3:F30" si="2">B3/$B$33</f>
        <v>6.7532467532467527E-2</v>
      </c>
      <c r="G3" s="4">
        <f t="shared" ref="G3:G30" si="3">SQRT(E3*E3 +$D$33*$D$33)</f>
        <v>9.6372857987914451E-3</v>
      </c>
      <c r="H3" s="3">
        <f t="shared" ref="H3:H30" si="4">2*A3/1000*9.8*$B$32/1000</f>
        <v>0.21063728000000004</v>
      </c>
      <c r="I3" s="4">
        <f t="shared" ref="I3:I30" si="5">SQRT(D3*D3+$D$32*$D$32)</f>
        <v>2.8210485230866851E-3</v>
      </c>
      <c r="J3">
        <f t="shared" ref="J3:J30" si="6">H3/F3</f>
        <v>3.1190520307692315</v>
      </c>
    </row>
    <row r="4" spans="1:10" x14ac:dyDescent="0.25">
      <c r="A4" s="2">
        <v>249.8</v>
      </c>
      <c r="B4">
        <v>133</v>
      </c>
      <c r="C4" s="2">
        <f t="shared" ref="C4:C6" si="7">SQRT(0.3*0.3 + C3*C3)</f>
        <v>0.51961524227066325</v>
      </c>
      <c r="D4" s="4">
        <f t="shared" si="0"/>
        <v>2.0801250691379631E-3</v>
      </c>
      <c r="E4" s="4">
        <f t="shared" si="1"/>
        <v>7.5187969924812026E-3</v>
      </c>
      <c r="F4" s="3">
        <f t="shared" si="2"/>
        <v>8.6363636363636365E-2</v>
      </c>
      <c r="G4" s="4">
        <f t="shared" si="3"/>
        <v>7.5467850426493852E-3</v>
      </c>
      <c r="H4" s="3">
        <f t="shared" si="4"/>
        <v>0.262429888</v>
      </c>
      <c r="I4" s="4">
        <f t="shared" si="5"/>
        <v>2.7942174178541492E-3</v>
      </c>
      <c r="J4">
        <f t="shared" si="6"/>
        <v>3.0386618610526317</v>
      </c>
    </row>
    <row r="5" spans="1:10" x14ac:dyDescent="0.25">
      <c r="A5" s="2">
        <v>300.5</v>
      </c>
      <c r="B5">
        <v>160</v>
      </c>
      <c r="C5" s="2">
        <f t="shared" si="7"/>
        <v>0.60000000000000009</v>
      </c>
      <c r="D5" s="4">
        <f t="shared" si="0"/>
        <v>1.9966722129783699E-3</v>
      </c>
      <c r="E5" s="4">
        <f t="shared" si="1"/>
        <v>6.2500000000000003E-3</v>
      </c>
      <c r="F5" s="3">
        <f t="shared" si="2"/>
        <v>0.1038961038961039</v>
      </c>
      <c r="G5" s="4">
        <f t="shared" si="3"/>
        <v>6.2836419587538658E-3</v>
      </c>
      <c r="H5" s="3">
        <f t="shared" si="4"/>
        <v>0.31569328000000002</v>
      </c>
      <c r="I5" s="4">
        <f t="shared" si="5"/>
        <v>2.732659986361866E-3</v>
      </c>
      <c r="J5">
        <f t="shared" si="6"/>
        <v>3.0385478199999998</v>
      </c>
    </row>
    <row r="6" spans="1:10" x14ac:dyDescent="0.25">
      <c r="A6" s="2">
        <v>350</v>
      </c>
      <c r="B6">
        <v>183</v>
      </c>
      <c r="C6" s="2">
        <f t="shared" si="7"/>
        <v>0.67082039324993692</v>
      </c>
      <c r="D6" s="4">
        <f t="shared" si="0"/>
        <v>1.9166296949998198E-3</v>
      </c>
      <c r="E6" s="4">
        <f t="shared" si="1"/>
        <v>5.4644808743169399E-3</v>
      </c>
      <c r="F6" s="3">
        <f t="shared" si="2"/>
        <v>0.11883116883116883</v>
      </c>
      <c r="G6" s="4">
        <f t="shared" si="3"/>
        <v>5.5029271748395633E-3</v>
      </c>
      <c r="H6" s="3">
        <f t="shared" si="4"/>
        <v>0.36769600000000002</v>
      </c>
      <c r="I6" s="4">
        <f t="shared" si="5"/>
        <v>2.6747336433257042E-3</v>
      </c>
      <c r="J6">
        <f t="shared" si="6"/>
        <v>3.0942723497267761</v>
      </c>
    </row>
    <row r="7" spans="1:10" x14ac:dyDescent="0.25">
      <c r="A7" s="2">
        <v>300.5</v>
      </c>
      <c r="B7">
        <v>158</v>
      </c>
      <c r="C7" s="2">
        <v>0.6</v>
      </c>
      <c r="D7" s="4">
        <f t="shared" si="0"/>
        <v>1.9966722129783694E-3</v>
      </c>
      <c r="E7" s="4">
        <f t="shared" si="1"/>
        <v>6.3291139240506328E-3</v>
      </c>
      <c r="F7" s="3">
        <f t="shared" si="2"/>
        <v>0.1025974025974026</v>
      </c>
      <c r="G7" s="4">
        <f t="shared" si="3"/>
        <v>6.3623375680188256E-3</v>
      </c>
      <c r="H7" s="3">
        <f t="shared" si="4"/>
        <v>0.31569328000000002</v>
      </c>
      <c r="I7" s="4">
        <f t="shared" si="5"/>
        <v>2.7326599863618656E-3</v>
      </c>
      <c r="J7">
        <f t="shared" si="6"/>
        <v>3.0770104506329115</v>
      </c>
    </row>
    <row r="8" spans="1:10" x14ac:dyDescent="0.25">
      <c r="A8" s="2">
        <v>249.8</v>
      </c>
      <c r="B8">
        <v>129</v>
      </c>
      <c r="C8" s="2">
        <v>0.5</v>
      </c>
      <c r="D8" s="4">
        <f t="shared" si="0"/>
        <v>2.0016012810248197E-3</v>
      </c>
      <c r="E8" s="4">
        <f t="shared" si="1"/>
        <v>7.7519379844961239E-3</v>
      </c>
      <c r="F8" s="3">
        <f t="shared" si="2"/>
        <v>8.3766233766233766E-2</v>
      </c>
      <c r="G8" s="4">
        <f t="shared" si="3"/>
        <v>7.7790872717360578E-3</v>
      </c>
      <c r="H8" s="3">
        <f t="shared" si="4"/>
        <v>0.262429888</v>
      </c>
      <c r="I8" s="4">
        <f t="shared" si="5"/>
        <v>2.7362635770669993E-3</v>
      </c>
      <c r="J8">
        <f t="shared" si="6"/>
        <v>3.1328839342635657</v>
      </c>
    </row>
    <row r="9" spans="1:10" x14ac:dyDescent="0.25">
      <c r="A9" s="2">
        <v>200.5</v>
      </c>
      <c r="B9">
        <v>101</v>
      </c>
      <c r="C9" s="2">
        <v>0.4</v>
      </c>
      <c r="D9" s="4">
        <f t="shared" si="0"/>
        <v>1.9950124688279305E-3</v>
      </c>
      <c r="E9" s="4">
        <f t="shared" si="1"/>
        <v>9.9009900990099011E-3</v>
      </c>
      <c r="F9" s="3">
        <f t="shared" si="2"/>
        <v>6.5584415584415579E-2</v>
      </c>
      <c r="G9" s="4">
        <f t="shared" si="3"/>
        <v>9.9222608918786356E-3</v>
      </c>
      <c r="H9" s="3">
        <f t="shared" si="4"/>
        <v>0.21063728000000004</v>
      </c>
      <c r="I9" s="4">
        <f t="shared" si="5"/>
        <v>2.7314474964315544E-3</v>
      </c>
      <c r="J9">
        <f t="shared" si="6"/>
        <v>3.2116971405940604</v>
      </c>
    </row>
    <row r="10" spans="1:10" x14ac:dyDescent="0.25">
      <c r="A10" s="2">
        <v>100.4</v>
      </c>
      <c r="B10">
        <v>51</v>
      </c>
      <c r="C10" s="2">
        <v>0.3</v>
      </c>
      <c r="D10" s="4">
        <f t="shared" si="0"/>
        <v>2.9880478087649398E-3</v>
      </c>
      <c r="E10" s="4">
        <f t="shared" si="1"/>
        <v>1.9607843137254902E-2</v>
      </c>
      <c r="F10" s="3">
        <f t="shared" si="2"/>
        <v>3.3116883116883114E-2</v>
      </c>
      <c r="G10" s="4">
        <f t="shared" si="3"/>
        <v>1.9618592425579524E-2</v>
      </c>
      <c r="H10" s="3">
        <f t="shared" si="4"/>
        <v>0.10547622400000002</v>
      </c>
      <c r="I10" s="4">
        <f t="shared" si="5"/>
        <v>3.5226638191073883E-3</v>
      </c>
      <c r="J10">
        <f t="shared" si="6"/>
        <v>3.1849683325490203</v>
      </c>
    </row>
    <row r="11" spans="1:10" x14ac:dyDescent="0.25">
      <c r="A11" s="2"/>
      <c r="G11" s="4"/>
      <c r="I11" s="4"/>
    </row>
    <row r="12" spans="1:10" x14ac:dyDescent="0.25">
      <c r="A12" s="2">
        <v>100.4</v>
      </c>
      <c r="B12">
        <v>53</v>
      </c>
      <c r="C12" s="2">
        <v>0.3</v>
      </c>
      <c r="D12" s="4">
        <f t="shared" si="0"/>
        <v>2.9880478087649398E-3</v>
      </c>
      <c r="E12" s="4">
        <f t="shared" si="1"/>
        <v>1.8867924528301886E-2</v>
      </c>
      <c r="F12" s="3">
        <f t="shared" si="2"/>
        <v>3.4415584415584413E-2</v>
      </c>
      <c r="G12" s="4">
        <f t="shared" si="3"/>
        <v>1.8879095112624124E-2</v>
      </c>
      <c r="H12" s="3">
        <f t="shared" si="4"/>
        <v>0.10547622400000002</v>
      </c>
      <c r="I12" s="4">
        <f t="shared" si="5"/>
        <v>3.5226638191073883E-3</v>
      </c>
      <c r="J12">
        <f t="shared" si="6"/>
        <v>3.0647808483018877</v>
      </c>
    </row>
    <row r="13" spans="1:10" x14ac:dyDescent="0.25">
      <c r="A13" s="2">
        <v>200.5</v>
      </c>
      <c r="B13">
        <v>103</v>
      </c>
      <c r="C13" s="2">
        <f>SQRT(0.3*0.3 + C12*C12)</f>
        <v>0.42426406871192851</v>
      </c>
      <c r="D13" s="4">
        <f t="shared" si="0"/>
        <v>2.1160302678899178E-3</v>
      </c>
      <c r="E13" s="4">
        <f t="shared" si="1"/>
        <v>9.7087378640776691E-3</v>
      </c>
      <c r="F13" s="3">
        <f t="shared" si="2"/>
        <v>6.6883116883116878E-2</v>
      </c>
      <c r="G13" s="4">
        <f t="shared" si="3"/>
        <v>9.7304289308944407E-3</v>
      </c>
      <c r="H13" s="3">
        <f t="shared" si="4"/>
        <v>0.21063728000000004</v>
      </c>
      <c r="I13" s="4">
        <f t="shared" si="5"/>
        <v>2.8210485230866851E-3</v>
      </c>
      <c r="J13">
        <f t="shared" si="6"/>
        <v>3.1493340893203894</v>
      </c>
    </row>
    <row r="14" spans="1:10" x14ac:dyDescent="0.25">
      <c r="A14" s="2">
        <v>249.8</v>
      </c>
      <c r="B14">
        <v>136</v>
      </c>
      <c r="C14" s="2">
        <f t="shared" ref="C14:C16" si="8">SQRT(0.3*0.3 + C13*C13)</f>
        <v>0.51961524227066325</v>
      </c>
      <c r="D14" s="4">
        <f t="shared" si="0"/>
        <v>2.0801250691379631E-3</v>
      </c>
      <c r="E14" s="4">
        <f t="shared" si="1"/>
        <v>7.3529411764705881E-3</v>
      </c>
      <c r="F14" s="3">
        <f t="shared" si="2"/>
        <v>8.8311688311688313E-2</v>
      </c>
      <c r="G14" s="4">
        <f t="shared" si="3"/>
        <v>7.3815581153607937E-3</v>
      </c>
      <c r="H14" s="3">
        <f t="shared" si="4"/>
        <v>0.262429888</v>
      </c>
      <c r="I14" s="4">
        <f t="shared" si="5"/>
        <v>2.7942174178541492E-3</v>
      </c>
      <c r="J14">
        <f t="shared" si="6"/>
        <v>2.9716325552941174</v>
      </c>
    </row>
    <row r="15" spans="1:10" x14ac:dyDescent="0.25">
      <c r="A15" s="2">
        <v>300.5</v>
      </c>
      <c r="B15">
        <v>159</v>
      </c>
      <c r="C15" s="2">
        <f t="shared" si="8"/>
        <v>0.60000000000000009</v>
      </c>
      <c r="D15" s="4">
        <f t="shared" si="0"/>
        <v>1.9966722129783699E-3</v>
      </c>
      <c r="E15" s="4">
        <f t="shared" si="1"/>
        <v>6.2893081761006293E-3</v>
      </c>
      <c r="F15" s="3">
        <f t="shared" si="2"/>
        <v>0.10324675324675325</v>
      </c>
      <c r="G15" s="4">
        <f t="shared" si="3"/>
        <v>6.3227409878768822E-3</v>
      </c>
      <c r="H15" s="3">
        <f t="shared" si="4"/>
        <v>0.31569328000000002</v>
      </c>
      <c r="I15" s="4">
        <f t="shared" si="5"/>
        <v>2.732659986361866E-3</v>
      </c>
      <c r="J15">
        <f t="shared" si="6"/>
        <v>3.0576581836477987</v>
      </c>
    </row>
    <row r="16" spans="1:10" x14ac:dyDescent="0.25">
      <c r="A16" s="2">
        <v>350</v>
      </c>
      <c r="B16">
        <v>184</v>
      </c>
      <c r="C16" s="2">
        <f t="shared" si="8"/>
        <v>0.67082039324993692</v>
      </c>
      <c r="D16" s="4">
        <f t="shared" si="0"/>
        <v>1.9166296949998198E-3</v>
      </c>
      <c r="E16" s="4">
        <f t="shared" si="1"/>
        <v>5.434782608695652E-3</v>
      </c>
      <c r="F16" s="3">
        <f t="shared" si="2"/>
        <v>0.11948051948051948</v>
      </c>
      <c r="G16" s="4">
        <f t="shared" si="3"/>
        <v>5.4734375185611491E-3</v>
      </c>
      <c r="H16" s="3">
        <f t="shared" si="4"/>
        <v>0.36769600000000002</v>
      </c>
      <c r="I16" s="4">
        <f t="shared" si="5"/>
        <v>2.6747336433257042E-3</v>
      </c>
      <c r="J16">
        <f t="shared" si="6"/>
        <v>3.0774556521739131</v>
      </c>
    </row>
    <row r="17" spans="1:10" x14ac:dyDescent="0.25">
      <c r="A17" s="2">
        <v>300.5</v>
      </c>
      <c r="B17">
        <v>161</v>
      </c>
      <c r="C17" s="2">
        <v>0.6</v>
      </c>
      <c r="D17" s="4">
        <f t="shared" si="0"/>
        <v>1.9966722129783694E-3</v>
      </c>
      <c r="E17" s="4">
        <f t="shared" si="1"/>
        <v>6.2111801242236021E-3</v>
      </c>
      <c r="F17" s="3">
        <f t="shared" si="2"/>
        <v>0.10454545454545454</v>
      </c>
      <c r="G17" s="4">
        <f t="shared" si="3"/>
        <v>6.2450312089982725E-3</v>
      </c>
      <c r="H17" s="3">
        <f t="shared" si="4"/>
        <v>0.31569328000000002</v>
      </c>
      <c r="I17" s="4">
        <f t="shared" si="5"/>
        <v>2.7326599863618656E-3</v>
      </c>
      <c r="J17">
        <f t="shared" si="6"/>
        <v>3.0196748521739134</v>
      </c>
    </row>
    <row r="18" spans="1:10" x14ac:dyDescent="0.25">
      <c r="A18" s="2">
        <v>249.8</v>
      </c>
      <c r="B18">
        <v>136</v>
      </c>
      <c r="C18" s="2">
        <v>0.5</v>
      </c>
      <c r="D18" s="4">
        <f t="shared" si="0"/>
        <v>2.0016012810248197E-3</v>
      </c>
      <c r="E18" s="4">
        <f t="shared" si="1"/>
        <v>7.3529411764705881E-3</v>
      </c>
      <c r="F18" s="3">
        <f t="shared" si="2"/>
        <v>8.8311688311688313E-2</v>
      </c>
      <c r="G18" s="4">
        <f t="shared" si="3"/>
        <v>7.3815581153607937E-3</v>
      </c>
      <c r="H18" s="3">
        <f t="shared" si="4"/>
        <v>0.262429888</v>
      </c>
      <c r="I18" s="4">
        <f t="shared" si="5"/>
        <v>2.7362635770669993E-3</v>
      </c>
      <c r="J18">
        <f t="shared" si="6"/>
        <v>2.9716325552941174</v>
      </c>
    </row>
    <row r="19" spans="1:10" x14ac:dyDescent="0.25">
      <c r="A19" s="2">
        <v>200.5</v>
      </c>
      <c r="B19">
        <v>105</v>
      </c>
      <c r="C19" s="2">
        <v>0.4</v>
      </c>
      <c r="D19" s="4">
        <f t="shared" si="0"/>
        <v>1.9950124688279305E-3</v>
      </c>
      <c r="E19" s="4">
        <f t="shared" si="1"/>
        <v>9.5238095238095247E-3</v>
      </c>
      <c r="F19" s="3">
        <f t="shared" si="2"/>
        <v>6.8181818181818177E-2</v>
      </c>
      <c r="G19" s="4">
        <f t="shared" si="3"/>
        <v>9.545920810043268E-3</v>
      </c>
      <c r="H19" s="3">
        <f t="shared" si="4"/>
        <v>0.21063728000000004</v>
      </c>
      <c r="I19" s="4">
        <f t="shared" si="5"/>
        <v>2.7314474964315544E-3</v>
      </c>
      <c r="J19">
        <f t="shared" si="6"/>
        <v>3.0893467733333342</v>
      </c>
    </row>
    <row r="20" spans="1:10" x14ac:dyDescent="0.25">
      <c r="A20" s="2">
        <v>100.4</v>
      </c>
      <c r="B20">
        <v>56</v>
      </c>
      <c r="C20" s="2">
        <v>0.3</v>
      </c>
      <c r="D20" s="4">
        <f t="shared" si="0"/>
        <v>2.9880478087649398E-3</v>
      </c>
      <c r="E20" s="4">
        <f t="shared" si="1"/>
        <v>1.7857142857142856E-2</v>
      </c>
      <c r="F20" s="3">
        <f t="shared" si="2"/>
        <v>3.6363636363636362E-2</v>
      </c>
      <c r="G20" s="4">
        <f t="shared" si="3"/>
        <v>1.7868945332229887E-2</v>
      </c>
      <c r="H20" s="3">
        <f t="shared" si="4"/>
        <v>0.10547622400000002</v>
      </c>
      <c r="I20" s="4">
        <f t="shared" si="5"/>
        <v>3.5226638191073883E-3</v>
      </c>
      <c r="J20">
        <f t="shared" si="6"/>
        <v>2.9005961600000005</v>
      </c>
    </row>
    <row r="21" spans="1:10" x14ac:dyDescent="0.25">
      <c r="A21" s="2"/>
      <c r="G21" s="4"/>
      <c r="I21" s="4"/>
    </row>
    <row r="22" spans="1:10" x14ac:dyDescent="0.25">
      <c r="A22" s="2">
        <v>49.5</v>
      </c>
      <c r="B22">
        <v>23</v>
      </c>
      <c r="C22" s="2">
        <v>0.3</v>
      </c>
      <c r="D22" s="4">
        <f t="shared" si="0"/>
        <v>6.0606060606060606E-3</v>
      </c>
      <c r="E22" s="4">
        <f t="shared" si="1"/>
        <v>4.3478260869565216E-2</v>
      </c>
      <c r="F22" s="4">
        <f t="shared" si="2"/>
        <v>1.4935064935064935E-2</v>
      </c>
      <c r="G22" s="4">
        <f t="shared" si="3"/>
        <v>4.3483109646249747E-2</v>
      </c>
      <c r="H22" s="3">
        <f t="shared" si="4"/>
        <v>5.2002720000000002E-2</v>
      </c>
      <c r="I22" s="4">
        <f t="shared" si="5"/>
        <v>6.3412677357795114E-3</v>
      </c>
      <c r="J22">
        <f t="shared" si="6"/>
        <v>3.4819212521739131</v>
      </c>
    </row>
    <row r="23" spans="1:10" x14ac:dyDescent="0.25">
      <c r="A23" s="2">
        <v>100.1</v>
      </c>
      <c r="B23">
        <v>53</v>
      </c>
      <c r="C23" s="2">
        <f>SQRT(0.3*0.3 + C22*C22)</f>
        <v>0.42426406871192851</v>
      </c>
      <c r="D23" s="4">
        <f t="shared" si="0"/>
        <v>4.2384022848344508E-3</v>
      </c>
      <c r="E23" s="4">
        <f t="shared" si="1"/>
        <v>1.8867924528301886E-2</v>
      </c>
      <c r="F23" s="3">
        <f t="shared" si="2"/>
        <v>3.4415584415584413E-2</v>
      </c>
      <c r="G23" s="4">
        <f t="shared" si="3"/>
        <v>1.8879095112624124E-2</v>
      </c>
      <c r="H23" s="3">
        <f t="shared" si="4"/>
        <v>0.105161056</v>
      </c>
      <c r="I23" s="4">
        <f t="shared" si="5"/>
        <v>4.6308513907350971E-3</v>
      </c>
      <c r="J23">
        <f t="shared" si="6"/>
        <v>3.0556231366037738</v>
      </c>
    </row>
    <row r="24" spans="1:10" x14ac:dyDescent="0.25">
      <c r="A24" s="2">
        <v>149.5</v>
      </c>
      <c r="B24">
        <v>76</v>
      </c>
      <c r="C24" s="2">
        <f t="shared" ref="C24:C26" si="9">SQRT(0.3*0.3 + C23*C23)</f>
        <v>0.51961524227066325</v>
      </c>
      <c r="D24" s="4">
        <f t="shared" si="0"/>
        <v>3.4756872392686503E-3</v>
      </c>
      <c r="E24" s="4">
        <f t="shared" si="1"/>
        <v>1.3157894736842105E-2</v>
      </c>
      <c r="F24" s="3">
        <f t="shared" si="2"/>
        <v>4.9350649350649353E-2</v>
      </c>
      <c r="G24" s="4">
        <f t="shared" si="3"/>
        <v>1.3173907930892384E-2</v>
      </c>
      <c r="H24" s="3">
        <f t="shared" si="4"/>
        <v>0.15705872000000001</v>
      </c>
      <c r="I24" s="4">
        <f t="shared" si="5"/>
        <v>3.9447601270797472E-3</v>
      </c>
      <c r="J24">
        <f t="shared" si="6"/>
        <v>3.1825056421052631</v>
      </c>
    </row>
    <row r="25" spans="1:10" x14ac:dyDescent="0.25">
      <c r="A25" s="2">
        <v>249.6</v>
      </c>
      <c r="B25">
        <v>134</v>
      </c>
      <c r="C25" s="2">
        <f t="shared" si="9"/>
        <v>0.60000000000000009</v>
      </c>
      <c r="D25" s="4">
        <f t="shared" si="0"/>
        <v>2.4038461538461544E-3</v>
      </c>
      <c r="E25" s="4">
        <f t="shared" si="1"/>
        <v>7.462686567164179E-3</v>
      </c>
      <c r="F25" s="3">
        <f t="shared" si="2"/>
        <v>8.7012987012987014E-2</v>
      </c>
      <c r="G25" s="4">
        <f t="shared" si="3"/>
        <v>7.4908842645941866E-3</v>
      </c>
      <c r="H25" s="3">
        <f t="shared" si="4"/>
        <v>0.26221977600000002</v>
      </c>
      <c r="I25" s="4">
        <f t="shared" si="5"/>
        <v>3.0428945112087342E-3</v>
      </c>
      <c r="J25">
        <f t="shared" si="6"/>
        <v>3.0135705600000002</v>
      </c>
    </row>
    <row r="26" spans="1:10" x14ac:dyDescent="0.25">
      <c r="A26" s="2">
        <v>350</v>
      </c>
      <c r="B26">
        <v>187</v>
      </c>
      <c r="C26" s="2">
        <f t="shared" si="9"/>
        <v>0.67082039324993692</v>
      </c>
      <c r="D26" s="4">
        <f t="shared" si="0"/>
        <v>1.9166296949998198E-3</v>
      </c>
      <c r="E26" s="4">
        <f t="shared" si="1"/>
        <v>5.3475935828877002E-3</v>
      </c>
      <c r="F26" s="3">
        <f t="shared" si="2"/>
        <v>0.12142857142857143</v>
      </c>
      <c r="G26" s="4">
        <f t="shared" si="3"/>
        <v>5.3868741765103279E-3</v>
      </c>
      <c r="H26" s="3">
        <f t="shared" si="4"/>
        <v>0.36769600000000002</v>
      </c>
      <c r="I26" s="4">
        <f t="shared" si="5"/>
        <v>2.6747336433257042E-3</v>
      </c>
      <c r="J26">
        <f t="shared" si="6"/>
        <v>3.0280847058823532</v>
      </c>
    </row>
    <row r="27" spans="1:10" x14ac:dyDescent="0.25">
      <c r="A27" s="2">
        <v>249.6</v>
      </c>
      <c r="B27">
        <v>134</v>
      </c>
      <c r="C27" s="2">
        <v>0.6</v>
      </c>
      <c r="D27" s="4">
        <f t="shared" si="0"/>
        <v>2.403846153846154E-3</v>
      </c>
      <c r="E27" s="4">
        <f t="shared" si="1"/>
        <v>7.462686567164179E-3</v>
      </c>
      <c r="F27" s="3">
        <f t="shared" si="2"/>
        <v>8.7012987012987014E-2</v>
      </c>
      <c r="G27" s="4">
        <f t="shared" si="3"/>
        <v>7.4908842645941866E-3</v>
      </c>
      <c r="H27" s="3">
        <f t="shared" si="4"/>
        <v>0.26221977600000002</v>
      </c>
      <c r="I27" s="4">
        <f t="shared" si="5"/>
        <v>3.0428945112087337E-3</v>
      </c>
      <c r="J27">
        <f t="shared" si="6"/>
        <v>3.0135705600000002</v>
      </c>
    </row>
    <row r="28" spans="1:10" x14ac:dyDescent="0.25">
      <c r="A28" s="2">
        <v>149.5</v>
      </c>
      <c r="B28">
        <v>78</v>
      </c>
      <c r="C28" s="2">
        <v>0.5</v>
      </c>
      <c r="D28" s="4">
        <f t="shared" si="0"/>
        <v>3.3444816053511705E-3</v>
      </c>
      <c r="E28" s="4">
        <f t="shared" si="1"/>
        <v>1.282051282051282E-2</v>
      </c>
      <c r="F28" s="3">
        <f t="shared" si="2"/>
        <v>5.0649350649350652E-2</v>
      </c>
      <c r="G28" s="4">
        <f t="shared" si="3"/>
        <v>1.2836946881823018E-2</v>
      </c>
      <c r="H28" s="3">
        <f t="shared" si="4"/>
        <v>0.15705872000000001</v>
      </c>
      <c r="I28" s="4">
        <f t="shared" si="5"/>
        <v>3.8296589774437667E-3</v>
      </c>
      <c r="J28">
        <f t="shared" si="6"/>
        <v>3.1009029333333333</v>
      </c>
    </row>
    <row r="29" spans="1:10" x14ac:dyDescent="0.25">
      <c r="A29" s="2">
        <v>100.1</v>
      </c>
      <c r="B29">
        <v>55</v>
      </c>
      <c r="C29" s="2">
        <v>0.4</v>
      </c>
      <c r="D29" s="4">
        <f t="shared" si="0"/>
        <v>3.9960039960039969E-3</v>
      </c>
      <c r="E29" s="4">
        <f t="shared" si="1"/>
        <v>1.8181818181818181E-2</v>
      </c>
      <c r="F29" s="3">
        <f t="shared" si="2"/>
        <v>3.5714285714285712E-2</v>
      </c>
      <c r="G29" s="4">
        <f t="shared" si="3"/>
        <v>1.8193410033924544E-2</v>
      </c>
      <c r="H29" s="3">
        <f t="shared" si="4"/>
        <v>0.105161056</v>
      </c>
      <c r="I29" s="4">
        <f t="shared" si="5"/>
        <v>4.4100769393586783E-3</v>
      </c>
      <c r="J29">
        <f t="shared" si="6"/>
        <v>2.9445095680000004</v>
      </c>
    </row>
    <row r="30" spans="1:10" x14ac:dyDescent="0.25">
      <c r="A30" s="2">
        <v>49.5</v>
      </c>
      <c r="B30">
        <v>26</v>
      </c>
      <c r="C30" s="2">
        <v>0.3</v>
      </c>
      <c r="D30" s="4">
        <f t="shared" si="0"/>
        <v>6.0606060606060606E-3</v>
      </c>
      <c r="E30" s="4">
        <f t="shared" si="1"/>
        <v>3.8461538461538464E-2</v>
      </c>
      <c r="F30" s="4">
        <f t="shared" si="2"/>
        <v>1.6883116883116882E-2</v>
      </c>
      <c r="G30" s="4">
        <f t="shared" si="3"/>
        <v>3.8467019602436252E-2</v>
      </c>
      <c r="H30" s="3">
        <f t="shared" si="4"/>
        <v>5.2002720000000002E-2</v>
      </c>
      <c r="I30" s="4">
        <f t="shared" si="5"/>
        <v>6.3412677357795114E-3</v>
      </c>
      <c r="J30">
        <f t="shared" si="6"/>
        <v>3.0801611076923079</v>
      </c>
    </row>
    <row r="32" spans="1:10" x14ac:dyDescent="0.25">
      <c r="A32" t="s">
        <v>8</v>
      </c>
      <c r="B32">
        <v>53.6</v>
      </c>
      <c r="C32" s="2">
        <v>0.1</v>
      </c>
      <c r="D32" s="4">
        <f>C32/B32</f>
        <v>1.8656716417910447E-3</v>
      </c>
    </row>
    <row r="33" spans="1:4" x14ac:dyDescent="0.25">
      <c r="A33" t="s">
        <v>5</v>
      </c>
      <c r="B33">
        <v>1540</v>
      </c>
      <c r="C33" s="2">
        <v>1</v>
      </c>
      <c r="D33" s="1">
        <f>C33/B33</f>
        <v>6.4935064935064935E-4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2025-11-04T07:59:41Z</dcterms:modified>
</cp:coreProperties>
</file>