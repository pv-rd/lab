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Labs\Lab_1.2.5\"/>
    </mc:Choice>
  </mc:AlternateContent>
  <xr:revisionPtr revIDLastSave="0" documentId="13_ncr:1_{DC44740B-0D24-4275-9745-DFB9DE4F8C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3" i="1"/>
  <c r="O4" i="1"/>
  <c r="O5" i="1"/>
  <c r="O6" i="1"/>
  <c r="O7" i="1"/>
  <c r="O8" i="1"/>
  <c r="O9" i="1"/>
  <c r="O2" i="1"/>
  <c r="N3" i="1"/>
  <c r="N4" i="1"/>
  <c r="N5" i="1"/>
  <c r="N6" i="1"/>
  <c r="N7" i="1"/>
  <c r="N8" i="1"/>
  <c r="N9" i="1"/>
  <c r="N10" i="1"/>
  <c r="N2" i="1"/>
  <c r="M3" i="1"/>
  <c r="M4" i="1"/>
  <c r="M5" i="1"/>
  <c r="M6" i="1"/>
  <c r="M7" i="1"/>
  <c r="M8" i="1"/>
  <c r="M9" i="1"/>
  <c r="M10" i="1"/>
  <c r="M2" i="1"/>
  <c r="J3" i="1"/>
  <c r="J4" i="1"/>
  <c r="J5" i="1"/>
  <c r="J6" i="1"/>
  <c r="J7" i="1"/>
  <c r="J8" i="1"/>
  <c r="J9" i="1"/>
  <c r="J10" i="1"/>
  <c r="J2" i="1"/>
  <c r="F12" i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2" i="1"/>
  <c r="I2" i="1" s="1"/>
  <c r="H3" i="1"/>
  <c r="H4" i="1"/>
  <c r="H5" i="1"/>
  <c r="H6" i="1"/>
  <c r="H7" i="1"/>
  <c r="H8" i="1"/>
  <c r="H9" i="1"/>
  <c r="H10" i="1"/>
  <c r="H2" i="1"/>
  <c r="B25" i="1"/>
  <c r="B22" i="1"/>
  <c r="B19" i="1"/>
  <c r="B16" i="1"/>
  <c r="B13" i="1"/>
  <c r="B10" i="1"/>
  <c r="B7" i="1"/>
  <c r="B4" i="1"/>
  <c r="B1" i="1"/>
  <c r="C2" i="1" l="1"/>
  <c r="C3" i="1"/>
  <c r="C1" i="1"/>
  <c r="D1" i="1" s="1"/>
  <c r="C8" i="1"/>
  <c r="C9" i="1"/>
  <c r="C7" i="1"/>
  <c r="D7" i="1" s="1"/>
  <c r="C11" i="1"/>
  <c r="C12" i="1"/>
  <c r="C10" i="1"/>
  <c r="D10" i="1" s="1"/>
  <c r="C20" i="1"/>
  <c r="C21" i="1"/>
  <c r="C19" i="1"/>
  <c r="D19" i="1" s="1"/>
  <c r="C23" i="1"/>
  <c r="C24" i="1"/>
  <c r="C22" i="1"/>
  <c r="D22" i="1" s="1"/>
  <c r="C26" i="1"/>
  <c r="C27" i="1"/>
  <c r="C25" i="1"/>
  <c r="D25" i="1" s="1"/>
  <c r="C17" i="1"/>
  <c r="C18" i="1"/>
  <c r="C16" i="1"/>
  <c r="D16" i="1" s="1"/>
  <c r="C14" i="1"/>
  <c r="C15" i="1"/>
  <c r="C13" i="1"/>
  <c r="D13" i="1" s="1"/>
  <c r="C5" i="1"/>
  <c r="C6" i="1"/>
  <c r="C4" i="1"/>
  <c r="D4" i="1" s="1"/>
</calcChain>
</file>

<file path=xl/sharedStrings.xml><?xml version="1.0" encoding="utf-8"?>
<sst xmlns="http://schemas.openxmlformats.org/spreadsheetml/2006/main" count="10" uniqueCount="10">
  <si>
    <t>Период</t>
  </si>
  <si>
    <t>Сл. Погр.</t>
  </si>
  <si>
    <t>m</t>
  </si>
  <si>
    <t>em</t>
  </si>
  <si>
    <t>M</t>
  </si>
  <si>
    <t>eM</t>
  </si>
  <si>
    <t>dM</t>
  </si>
  <si>
    <t>Полн. Погр</t>
  </si>
  <si>
    <t>Омега</t>
  </si>
  <si>
    <t>погр Омега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</si>
</sst>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1" fillId="0" borderId="0" xfId="0" applyNumberFormat="1" applyFont="1"/>
    <xf numFmtId="0" fontId="0" fillId="2" borderId="0" xfId="0" applyFill="1"/>
    <xf numFmtId="2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G16" sqref="G16"/>
    </sheetView>
  </sheetViews>
  <sheetFormatPr defaultRowHeight="15" x14ac:dyDescent="0.25"/>
  <cols>
    <col min="1" max="1" width="9.140625" style="2"/>
    <col min="3" max="3" width="8.7109375" style="2" customWidth="1"/>
    <col min="6" max="6" width="9.5703125" bestFit="1" customWidth="1"/>
    <col min="11" max="11" width="9.5703125" bestFit="1" customWidth="1"/>
    <col min="14" max="14" width="9.140625" customWidth="1"/>
    <col min="15" max="15" width="11.140625" customWidth="1"/>
  </cols>
  <sheetData>
    <row r="1" spans="1:15" x14ac:dyDescent="0.25">
      <c r="A1" s="2">
        <v>181.56</v>
      </c>
      <c r="B1" s="2">
        <f>AVERAGE(A1:A3)</f>
        <v>181.74666666666667</v>
      </c>
      <c r="C1" s="2">
        <f>POWER((A1-B$1), 2)</f>
        <v>3.4844444444444726E-2</v>
      </c>
      <c r="D1" s="2">
        <f>SQRT(AVERAGE(C1:C3))</f>
        <v>0.15520595635763554</v>
      </c>
      <c r="F1" s="2" t="s">
        <v>3</v>
      </c>
      <c r="G1" s="2" t="s">
        <v>2</v>
      </c>
      <c r="H1" s="7" t="s">
        <v>4</v>
      </c>
      <c r="I1" s="2" t="s">
        <v>5</v>
      </c>
      <c r="J1" s="8" t="s">
        <v>6</v>
      </c>
      <c r="K1" t="s">
        <v>0</v>
      </c>
      <c r="L1" t="s">
        <v>1</v>
      </c>
      <c r="M1" t="s">
        <v>7</v>
      </c>
      <c r="N1" s="7" t="s">
        <v>8</v>
      </c>
      <c r="O1" s="7" t="s">
        <v>9</v>
      </c>
    </row>
    <row r="2" spans="1:15" x14ac:dyDescent="0.25">
      <c r="A2" s="2">
        <v>181.74</v>
      </c>
      <c r="C2" s="2">
        <f>POWER((A2-B$1), 2)</f>
        <v>4.4444444444363599E-5</v>
      </c>
      <c r="F2" s="1">
        <f>0.3/G2</f>
        <v>5.3475935828877002E-3</v>
      </c>
      <c r="G2" s="5">
        <v>56.1</v>
      </c>
      <c r="H2" s="6">
        <f>G2*(9.8)/1000*0.121</f>
        <v>6.6523380000000007E-2</v>
      </c>
      <c r="I2" s="4">
        <f>SQRT(SUM(F2*F2+$F$12*$F$12))</f>
        <v>9.8436833890698048E-3</v>
      </c>
      <c r="J2" s="6">
        <f>H2*I2</f>
        <v>6.5483509069077855E-4</v>
      </c>
      <c r="K2" s="2">
        <v>181.74666666666667</v>
      </c>
      <c r="L2" s="2">
        <v>0.15520595635763554</v>
      </c>
      <c r="M2" s="2">
        <f>SQRT(L2*L2 + (0.03*0.03))</f>
        <v>0.15807874268505639</v>
      </c>
      <c r="N2">
        <f>2*PI()/K2</f>
        <v>3.4571117162238207E-2</v>
      </c>
      <c r="O2" s="3">
        <f>N2*M2/K2</f>
        <v>3.0069100217653091E-5</v>
      </c>
    </row>
    <row r="3" spans="1:15" x14ac:dyDescent="0.25">
      <c r="A3" s="2">
        <v>181.94</v>
      </c>
      <c r="C3" s="2">
        <f t="shared" ref="C3" si="0">POWER((A3-B$1), 2)</f>
        <v>3.7377777777775727E-2</v>
      </c>
      <c r="F3" s="1">
        <f t="shared" ref="F3:F10" si="1">0.3/G3</f>
        <v>5.016722408026756E-3</v>
      </c>
      <c r="G3" s="5">
        <v>59.8</v>
      </c>
      <c r="H3" s="6">
        <f t="shared" ref="H3:H10" si="2">G3*(9.8)/1000*0.121</f>
        <v>7.0910840000000003E-2</v>
      </c>
      <c r="I3" s="4">
        <f t="shared" ref="I3:I10" si="3">SQRT(SUM(F3*F3+$F$12*$F$12))</f>
        <v>9.6679289020816066E-3</v>
      </c>
      <c r="J3" s="6">
        <f t="shared" ref="J3:J10" si="4">H3*I3</f>
        <v>6.8556095950688452E-4</v>
      </c>
      <c r="K3" s="2">
        <v>172.12</v>
      </c>
      <c r="L3" s="2">
        <v>0.17663521732656362</v>
      </c>
      <c r="M3" s="2">
        <f t="shared" ref="M3:M10" si="5">SQRT(L3*L3 + (0.03*0.03))</f>
        <v>0.17916472867169578</v>
      </c>
      <c r="N3">
        <f t="shared" ref="N3:N10" si="6">2*PI()/K3</f>
        <v>3.6504678754238823E-2</v>
      </c>
      <c r="O3" s="3">
        <f t="shared" ref="O3:O9" si="7">N3*M3/K3</f>
        <v>3.7998784942195068E-5</v>
      </c>
    </row>
    <row r="4" spans="1:15" x14ac:dyDescent="0.25">
      <c r="A4" s="2">
        <v>171.88</v>
      </c>
      <c r="B4" s="2">
        <f>AVERAGE(A4:A6)</f>
        <v>172.12</v>
      </c>
      <c r="C4" s="2">
        <f>POWER((A4-B$4), 2)</f>
        <v>5.7600000000004363E-2</v>
      </c>
      <c r="D4" s="2">
        <f>SQRT(AVERAGE(C4:C6))</f>
        <v>0.17663521732656362</v>
      </c>
      <c r="F4" s="1">
        <f t="shared" si="1"/>
        <v>3.9735099337748344E-3</v>
      </c>
      <c r="G4" s="5">
        <v>75.5</v>
      </c>
      <c r="H4" s="6">
        <f t="shared" si="2"/>
        <v>8.9527900000000007E-2</v>
      </c>
      <c r="I4" s="4">
        <f t="shared" si="3"/>
        <v>9.1700668879956572E-3</v>
      </c>
      <c r="J4" s="6">
        <f t="shared" si="4"/>
        <v>8.2097683134178649E-4</v>
      </c>
      <c r="K4" s="2">
        <v>135.79333333333332</v>
      </c>
      <c r="L4" s="2">
        <v>0.15691469727919655</v>
      </c>
      <c r="M4" s="2">
        <f t="shared" si="5"/>
        <v>0.15975675955095575</v>
      </c>
      <c r="N4">
        <f t="shared" si="6"/>
        <v>4.6270204530263537E-2</v>
      </c>
      <c r="O4" s="3">
        <f t="shared" si="7"/>
        <v>5.4435499579126538E-5</v>
      </c>
    </row>
    <row r="5" spans="1:15" x14ac:dyDescent="0.25">
      <c r="A5" s="2">
        <v>172.18</v>
      </c>
      <c r="C5" s="2">
        <f t="shared" ref="C5:C6" si="8">POWER((A5-B$4), 2)</f>
        <v>3.6000000000002727E-3</v>
      </c>
      <c r="F5" s="1">
        <f t="shared" si="1"/>
        <v>3.2327586206896551E-3</v>
      </c>
      <c r="G5" s="5">
        <v>92.8</v>
      </c>
      <c r="H5" s="6">
        <f t="shared" si="2"/>
        <v>0.11004224</v>
      </c>
      <c r="I5" s="4">
        <f t="shared" si="3"/>
        <v>8.8742365213098952E-3</v>
      </c>
      <c r="J5" s="6">
        <f t="shared" si="4"/>
        <v>9.7654086509474857E-4</v>
      </c>
      <c r="K5" s="2">
        <v>109.70666666666666</v>
      </c>
      <c r="L5" s="2">
        <v>0.18061622912191957</v>
      </c>
      <c r="M5" s="2">
        <f t="shared" si="5"/>
        <v>0.18309074859812483</v>
      </c>
      <c r="N5">
        <f t="shared" si="6"/>
        <v>5.7272593344490641E-2</v>
      </c>
      <c r="O5" s="3">
        <f t="shared" si="7"/>
        <v>9.5582905836157989E-5</v>
      </c>
    </row>
    <row r="6" spans="1:15" x14ac:dyDescent="0.25">
      <c r="A6" s="2">
        <v>172.3</v>
      </c>
      <c r="C6" s="2">
        <f t="shared" si="8"/>
        <v>3.2400000000002455E-2</v>
      </c>
      <c r="F6" s="1">
        <f t="shared" si="1"/>
        <v>2.6978417266187047E-3</v>
      </c>
      <c r="G6" s="5">
        <v>111.2</v>
      </c>
      <c r="H6" s="6">
        <f t="shared" si="2"/>
        <v>0.13186096000000003</v>
      </c>
      <c r="I6" s="4">
        <f t="shared" si="3"/>
        <v>8.6936583506825281E-3</v>
      </c>
      <c r="J6" s="6">
        <f t="shared" si="4"/>
        <v>1.146354136033015E-3</v>
      </c>
      <c r="K6" s="2">
        <v>91.966666666666654</v>
      </c>
      <c r="L6" s="2">
        <v>0.15173075568988367</v>
      </c>
      <c r="M6" s="2">
        <f t="shared" si="5"/>
        <v>0.15466810344160545</v>
      </c>
      <c r="N6">
        <f t="shared" si="6"/>
        <v>6.8320246181728023E-2</v>
      </c>
      <c r="O6" s="3">
        <f t="shared" si="7"/>
        <v>1.1489992283716703E-4</v>
      </c>
    </row>
    <row r="7" spans="1:15" x14ac:dyDescent="0.25">
      <c r="A7" s="2">
        <v>135.76</v>
      </c>
      <c r="B7" s="2">
        <f>AVERAGE(A7:A9)</f>
        <v>135.79333333333332</v>
      </c>
      <c r="C7" s="2">
        <f>POWER((A7-B$7), 2)</f>
        <v>1.1111111111109847E-3</v>
      </c>
      <c r="D7" s="2">
        <f>SQRT(AVERAGE(C7:C9))</f>
        <v>0.15691469727919655</v>
      </c>
      <c r="F7" s="1">
        <f t="shared" si="1"/>
        <v>2.1261516654854712E-3</v>
      </c>
      <c r="G7" s="5">
        <v>141.1</v>
      </c>
      <c r="H7" s="6">
        <f t="shared" si="2"/>
        <v>0.16731637999999999</v>
      </c>
      <c r="I7" s="4">
        <f t="shared" si="3"/>
        <v>8.5335729000901913E-3</v>
      </c>
      <c r="J7" s="6">
        <f t="shared" si="4"/>
        <v>1.4278065261091924E-3</v>
      </c>
      <c r="K7" s="2">
        <v>72.893333333333331</v>
      </c>
      <c r="L7" s="2">
        <v>0.1791337179005936</v>
      </c>
      <c r="M7" s="2">
        <f t="shared" si="5"/>
        <v>0.18162843634433856</v>
      </c>
      <c r="N7">
        <f t="shared" si="6"/>
        <v>8.6196981532553313E-2</v>
      </c>
      <c r="O7" s="3">
        <f t="shared" si="7"/>
        <v>2.1477715803950274E-4</v>
      </c>
    </row>
    <row r="8" spans="1:15" x14ac:dyDescent="0.25">
      <c r="A8" s="2">
        <v>135.62</v>
      </c>
      <c r="C8" s="2">
        <f t="shared" ref="C8:C9" si="9">POWER((A8-B$7), 2)</f>
        <v>3.0044444444439058E-2</v>
      </c>
      <c r="F8" s="4">
        <f t="shared" si="1"/>
        <v>1.4012143858010276E-3</v>
      </c>
      <c r="G8" s="5">
        <v>214.1</v>
      </c>
      <c r="H8" s="6">
        <f t="shared" si="2"/>
        <v>0.25387978</v>
      </c>
      <c r="I8" s="4">
        <f t="shared" si="3"/>
        <v>8.3824070106075631E-3</v>
      </c>
      <c r="J8" s="6">
        <f t="shared" si="4"/>
        <v>2.1281236477235059E-3</v>
      </c>
      <c r="K8" s="2">
        <v>47.57</v>
      </c>
      <c r="L8" s="2">
        <v>0.19304576314093641</v>
      </c>
      <c r="M8" s="2">
        <f t="shared" si="5"/>
        <v>0.19536291016123436</v>
      </c>
      <c r="N8">
        <f t="shared" si="6"/>
        <v>0.13208293687575334</v>
      </c>
      <c r="O8" s="3">
        <f t="shared" si="7"/>
        <v>5.4244496385725855E-4</v>
      </c>
    </row>
    <row r="9" spans="1:15" x14ac:dyDescent="0.25">
      <c r="A9" s="2">
        <v>136</v>
      </c>
      <c r="C9" s="2">
        <f t="shared" si="9"/>
        <v>4.2711111111115654E-2</v>
      </c>
      <c r="F9" s="4">
        <f t="shared" si="1"/>
        <v>1.1252813203300824E-3</v>
      </c>
      <c r="G9" s="5">
        <v>266.60000000000002</v>
      </c>
      <c r="H9" s="6">
        <f t="shared" si="2"/>
        <v>0.31613427999999999</v>
      </c>
      <c r="I9" s="4">
        <f t="shared" si="3"/>
        <v>8.3407196084265348E-3</v>
      </c>
      <c r="J9" s="6">
        <f t="shared" si="4"/>
        <v>2.6367873880918046E-3</v>
      </c>
      <c r="K9" s="2">
        <v>38.196666666666665</v>
      </c>
      <c r="L9" s="2">
        <v>0.12762793146051168</v>
      </c>
      <c r="M9" s="2">
        <f t="shared" si="5"/>
        <v>0.13110640292864825</v>
      </c>
      <c r="N9">
        <f t="shared" si="6"/>
        <v>0.16449564465955807</v>
      </c>
      <c r="O9" s="3">
        <f t="shared" si="7"/>
        <v>5.6461555813100016E-4</v>
      </c>
    </row>
    <row r="10" spans="1:15" x14ac:dyDescent="0.25">
      <c r="A10" s="2">
        <v>109.5</v>
      </c>
      <c r="B10" s="2">
        <f>AVERAGE(A10:A12)</f>
        <v>109.70666666666666</v>
      </c>
      <c r="C10" s="2">
        <f>POWER((A10-B$10), 2)</f>
        <v>4.2711111111109777E-2</v>
      </c>
      <c r="D10" s="2">
        <f>SQRT(AVERAGE(C10:C12))</f>
        <v>0.18061622912191957</v>
      </c>
      <c r="F10" s="4">
        <f t="shared" si="1"/>
        <v>8.9766606822262122E-4</v>
      </c>
      <c r="G10" s="5">
        <v>334.2</v>
      </c>
      <c r="H10" s="6">
        <f t="shared" si="2"/>
        <v>0.39629436000000007</v>
      </c>
      <c r="I10" s="4">
        <f t="shared" si="3"/>
        <v>8.3130710273968747E-3</v>
      </c>
      <c r="J10" s="6">
        <f t="shared" si="4"/>
        <v>3.2944231624367874E-3</v>
      </c>
      <c r="K10" s="2">
        <v>31.676666666666666</v>
      </c>
      <c r="L10" s="2">
        <v>0.17133463034528465</v>
      </c>
      <c r="M10" s="2">
        <f t="shared" si="5"/>
        <v>0.17394124167532937</v>
      </c>
      <c r="N10">
        <f t="shared" si="6"/>
        <v>0.1983537400982717</v>
      </c>
      <c r="O10" s="3">
        <f>N10*M10/K10</f>
        <v>1.0891895983470151E-3</v>
      </c>
    </row>
    <row r="11" spans="1:15" x14ac:dyDescent="0.25">
      <c r="A11" s="2">
        <v>109.94</v>
      </c>
      <c r="C11" s="2">
        <f t="shared" ref="C11:C12" si="10">POWER((A11-B$10), 2)</f>
        <v>5.4444444444444885E-2</v>
      </c>
    </row>
    <row r="12" spans="1:15" x14ac:dyDescent="0.25">
      <c r="A12" s="2">
        <v>109.68</v>
      </c>
      <c r="C12" s="2">
        <f t="shared" si="10"/>
        <v>7.1111111111057555E-4</v>
      </c>
      <c r="F12">
        <f>1/121</f>
        <v>8.2644628099173556E-3</v>
      </c>
    </row>
    <row r="13" spans="1:15" x14ac:dyDescent="0.25">
      <c r="A13" s="2">
        <v>91.84</v>
      </c>
      <c r="B13" s="2">
        <f>AVERAGE(A13:A15)</f>
        <v>91.966666666666654</v>
      </c>
      <c r="C13" s="2">
        <f>POWER((A13-B$13), 2)</f>
        <v>1.6044444444440462E-2</v>
      </c>
      <c r="D13" s="2">
        <f>SQRT(AVERAGE(C13:C15))</f>
        <v>0.15173075568988367</v>
      </c>
    </row>
    <row r="14" spans="1:15" x14ac:dyDescent="0.25">
      <c r="A14" s="2">
        <v>92.18</v>
      </c>
      <c r="C14" s="2">
        <f t="shared" ref="C14:C15" si="11">POWER((A14-B$13), 2)</f>
        <v>4.5511111111119273E-2</v>
      </c>
    </row>
    <row r="15" spans="1:15" x14ac:dyDescent="0.25">
      <c r="A15" s="2">
        <v>91.88</v>
      </c>
      <c r="C15" s="2">
        <f t="shared" si="11"/>
        <v>7.5111111111097646E-3</v>
      </c>
    </row>
    <row r="16" spans="1:15" x14ac:dyDescent="0.25">
      <c r="A16" s="2">
        <v>72.72</v>
      </c>
      <c r="B16" s="2">
        <f>AVERAGE(A16:A18)</f>
        <v>72.893333333333331</v>
      </c>
      <c r="C16" s="2">
        <f>POWER((A16-B$16), 2)</f>
        <v>3.0044444444443985E-2</v>
      </c>
      <c r="D16" s="2">
        <f>SQRT(AVERAGE(C16:C18))</f>
        <v>0.1791337179005936</v>
      </c>
    </row>
    <row r="17" spans="1:4" x14ac:dyDescent="0.25">
      <c r="A17" s="2">
        <v>72.819999999999993</v>
      </c>
      <c r="C17" s="2">
        <f t="shared" ref="C17:C18" si="12">POWER((A17-B$16), 2)</f>
        <v>5.3777777777784166E-3</v>
      </c>
    </row>
    <row r="18" spans="1:4" x14ac:dyDescent="0.25">
      <c r="A18" s="2">
        <v>73.14</v>
      </c>
      <c r="C18" s="2">
        <f t="shared" si="12"/>
        <v>6.0844444444445943E-2</v>
      </c>
    </row>
    <row r="19" spans="1:4" x14ac:dyDescent="0.25">
      <c r="A19" s="2">
        <v>47.32</v>
      </c>
      <c r="B19" s="2">
        <f>AVERAGE(A19:A21)</f>
        <v>47.57</v>
      </c>
      <c r="C19" s="2">
        <f>POWER((A19-B$19), 2)</f>
        <v>6.25E-2</v>
      </c>
      <c r="D19" s="2">
        <f>SQRT(AVERAGE(C19:C21))</f>
        <v>0.19304576314093641</v>
      </c>
    </row>
    <row r="20" spans="1:4" x14ac:dyDescent="0.25">
      <c r="A20" s="2">
        <v>47.79</v>
      </c>
      <c r="C20" s="2">
        <f t="shared" ref="C20:C21" si="13">POWER((A20-B$19), 2)</f>
        <v>4.8399999999999499E-2</v>
      </c>
    </row>
    <row r="21" spans="1:4" x14ac:dyDescent="0.25">
      <c r="A21" s="2">
        <v>47.6</v>
      </c>
      <c r="C21" s="2">
        <f t="shared" si="13"/>
        <v>9.0000000000006817E-4</v>
      </c>
    </row>
    <row r="22" spans="1:4" x14ac:dyDescent="0.25">
      <c r="A22" s="2">
        <v>38.22</v>
      </c>
      <c r="B22" s="2">
        <f>AVERAGE(A22:A24)</f>
        <v>38.196666666666665</v>
      </c>
      <c r="C22" s="2">
        <f>POWER((A22-B$22), 2)</f>
        <v>5.4444444444444885E-4</v>
      </c>
      <c r="D22" s="2">
        <f>SQRT(AVERAGE(C22:C24))</f>
        <v>0.12762793146051168</v>
      </c>
    </row>
    <row r="23" spans="1:4" x14ac:dyDescent="0.25">
      <c r="A23" s="2">
        <v>38.03</v>
      </c>
      <c r="C23" s="2">
        <f t="shared" ref="C23:C24" si="14">POWER((A23-B$22), 2)</f>
        <v>2.7777777777776989E-2</v>
      </c>
    </row>
    <row r="24" spans="1:4" x14ac:dyDescent="0.25">
      <c r="A24" s="2">
        <v>38.340000000000003</v>
      </c>
      <c r="C24" s="2">
        <f t="shared" si="14"/>
        <v>2.0544444444445774E-2</v>
      </c>
    </row>
    <row r="25" spans="1:4" x14ac:dyDescent="0.25">
      <c r="A25" s="2">
        <v>31.44</v>
      </c>
      <c r="B25" s="2">
        <f>AVERAGE(A25:A27)</f>
        <v>31.676666666666666</v>
      </c>
      <c r="C25" s="2">
        <f>POWER((A25-B$25), 2)</f>
        <v>5.6011111111110123E-2</v>
      </c>
      <c r="D25" s="2">
        <f>SQRT(AVERAGE(C25:C27))</f>
        <v>0.17133463034528465</v>
      </c>
    </row>
    <row r="26" spans="1:4" x14ac:dyDescent="0.25">
      <c r="A26" s="2">
        <v>31.84</v>
      </c>
      <c r="C26" s="2">
        <f t="shared" ref="C26:C27" si="15">POWER((A26-B$25), 2)</f>
        <v>2.6677777777777995E-2</v>
      </c>
    </row>
    <row r="27" spans="1:4" x14ac:dyDescent="0.25">
      <c r="A27" s="2">
        <v>31.75</v>
      </c>
      <c r="C27" s="2">
        <f t="shared" si="15"/>
        <v>5.3777777777778962E-3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2025-12-18T14:07:03Z</dcterms:modified>
</cp:coreProperties>
</file>