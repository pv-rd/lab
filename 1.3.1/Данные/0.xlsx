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авел Андреевич\Desktop\ЛАБЫ\Lab_1.3.1\Данные\"/>
    </mc:Choice>
  </mc:AlternateContent>
  <xr:revisionPtr revIDLastSave="0" documentId="13_ncr:1_{79BFF7DF-D258-4D8D-BE72-EEE8E40E56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X7" i="1"/>
  <c r="X3" i="1"/>
  <c r="X6" i="1"/>
  <c r="E3" i="1"/>
  <c r="E4" i="1"/>
  <c r="E5" i="1"/>
  <c r="E6" i="1"/>
  <c r="E7" i="1"/>
  <c r="E8" i="1"/>
  <c r="E9" i="1"/>
  <c r="E10" i="1"/>
  <c r="E11" i="1"/>
  <c r="E12" i="1"/>
  <c r="E13" i="1"/>
  <c r="E14" i="1"/>
  <c r="E2" i="1"/>
  <c r="O4" i="1" l="1"/>
  <c r="P4" i="1"/>
  <c r="Q4" i="1"/>
  <c r="R4" i="1"/>
  <c r="S4" i="1"/>
  <c r="T4" i="1"/>
  <c r="U4" i="1"/>
  <c r="V4" i="1"/>
  <c r="W4" i="1"/>
  <c r="N4" i="1"/>
  <c r="X4" i="1" s="1"/>
  <c r="O8" i="1"/>
  <c r="P8" i="1"/>
  <c r="Q8" i="1"/>
  <c r="R8" i="1"/>
  <c r="S8" i="1"/>
  <c r="T8" i="1"/>
  <c r="U8" i="1"/>
  <c r="V8" i="1"/>
  <c r="W8" i="1"/>
  <c r="N8" i="1"/>
  <c r="X8" i="1" s="1"/>
</calcChain>
</file>

<file path=xl/sharedStrings.xml><?xml version="1.0" encoding="utf-8"?>
<sst xmlns="http://schemas.openxmlformats.org/spreadsheetml/2006/main" count="18" uniqueCount="12">
  <si>
    <t>лат</t>
  </si>
  <si>
    <t>дер</t>
  </si>
  <si>
    <t>Латунь</t>
  </si>
  <si>
    <t>Дерево</t>
  </si>
  <si>
    <t>Масса</t>
  </si>
  <si>
    <t>0.3</t>
  </si>
  <si>
    <t>0.4</t>
  </si>
  <si>
    <t>0.5</t>
  </si>
  <si>
    <t>0.9</t>
  </si>
  <si>
    <t>0.6</t>
  </si>
  <si>
    <t>0.7</t>
  </si>
  <si>
    <t>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</si>
</sst>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68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tabSelected="1" workbookViewId="0">
      <selection activeCell="L3" sqref="L3:L15"/>
    </sheetView>
  </sheetViews>
  <sheetFormatPr defaultRowHeight="15" x14ac:dyDescent="0.25"/>
  <sheetData>
    <row r="1" spans="1:24" x14ac:dyDescent="0.25">
      <c r="A1" s="1"/>
      <c r="B1" s="1"/>
      <c r="C1" s="1"/>
      <c r="D1" s="1"/>
      <c r="G1" s="2" t="s">
        <v>4</v>
      </c>
      <c r="H1" s="2" t="s">
        <v>2</v>
      </c>
      <c r="I1" s="2"/>
      <c r="J1" s="2" t="s">
        <v>3</v>
      </c>
      <c r="K1" s="2"/>
      <c r="N1" t="s">
        <v>0</v>
      </c>
    </row>
    <row r="2" spans="1:24" x14ac:dyDescent="0.25">
      <c r="A2" s="1">
        <v>0</v>
      </c>
      <c r="B2" s="1">
        <v>198</v>
      </c>
      <c r="C2" s="1">
        <v>0</v>
      </c>
      <c r="D2" s="1">
        <v>198</v>
      </c>
      <c r="E2">
        <f>B2-198</f>
        <v>0</v>
      </c>
      <c r="G2" s="2"/>
      <c r="H2" s="3">
        <v>1</v>
      </c>
      <c r="I2" s="3">
        <v>2</v>
      </c>
      <c r="J2" s="3">
        <v>1</v>
      </c>
      <c r="K2" s="3">
        <v>2</v>
      </c>
      <c r="N2">
        <v>3.9</v>
      </c>
      <c r="O2">
        <v>3.9</v>
      </c>
      <c r="P2">
        <v>3.9</v>
      </c>
      <c r="Q2">
        <v>3.9</v>
      </c>
      <c r="R2">
        <v>3.9</v>
      </c>
      <c r="S2">
        <v>3.9</v>
      </c>
      <c r="T2">
        <v>3.9</v>
      </c>
      <c r="U2">
        <v>3.9</v>
      </c>
      <c r="V2">
        <v>3.9</v>
      </c>
      <c r="W2">
        <v>3.9</v>
      </c>
    </row>
    <row r="3" spans="1:24" x14ac:dyDescent="0.25">
      <c r="A3" s="1">
        <v>245.6</v>
      </c>
      <c r="B3" s="1">
        <v>239</v>
      </c>
      <c r="C3" s="1">
        <v>478.3</v>
      </c>
      <c r="D3" s="1">
        <v>226</v>
      </c>
      <c r="E3">
        <f t="shared" ref="E3:E14" si="0">B3-198</f>
        <v>41</v>
      </c>
      <c r="F3">
        <v>501</v>
      </c>
      <c r="G3" s="4">
        <v>501</v>
      </c>
      <c r="H3" s="1">
        <v>120</v>
      </c>
      <c r="I3" s="1">
        <v>123</v>
      </c>
      <c r="J3" s="1">
        <v>75</v>
      </c>
      <c r="K3" s="1">
        <v>75</v>
      </c>
      <c r="L3" t="s">
        <v>5</v>
      </c>
      <c r="N3">
        <v>21.1</v>
      </c>
      <c r="O3">
        <v>21.2</v>
      </c>
      <c r="P3">
        <v>21.2</v>
      </c>
      <c r="Q3">
        <v>21.2</v>
      </c>
      <c r="R3">
        <v>21.4</v>
      </c>
      <c r="S3">
        <v>21.5</v>
      </c>
      <c r="T3">
        <v>21.4</v>
      </c>
      <c r="U3">
        <v>21.4</v>
      </c>
      <c r="V3">
        <v>21.4</v>
      </c>
      <c r="W3">
        <v>21.3</v>
      </c>
      <c r="X3">
        <f>AVERAGE(N3:W3)</f>
        <v>21.310000000000002</v>
      </c>
    </row>
    <row r="4" spans="1:24" x14ac:dyDescent="0.25">
      <c r="A4" s="1">
        <v>491</v>
      </c>
      <c r="B4" s="1">
        <v>256</v>
      </c>
      <c r="C4" s="1">
        <v>724</v>
      </c>
      <c r="D4" s="1">
        <v>244</v>
      </c>
      <c r="E4">
        <f t="shared" si="0"/>
        <v>58</v>
      </c>
      <c r="F4">
        <v>507</v>
      </c>
      <c r="G4" s="4">
        <f>G3+F4</f>
        <v>1008</v>
      </c>
      <c r="H4" s="1">
        <v>250</v>
      </c>
      <c r="I4" s="1">
        <v>245</v>
      </c>
      <c r="J4" s="1">
        <v>150</v>
      </c>
      <c r="K4" s="1">
        <v>150</v>
      </c>
      <c r="L4" t="s">
        <v>6</v>
      </c>
      <c r="N4">
        <f>($X$3-N3)*($X$3-N3)</f>
        <v>4.4100000000000361E-2</v>
      </c>
      <c r="O4">
        <f t="shared" ref="O4:W4" si="1">($X$3-O3)*($X$3-O3)</f>
        <v>1.2100000000000657E-2</v>
      </c>
      <c r="P4">
        <f t="shared" si="1"/>
        <v>1.2100000000000657E-2</v>
      </c>
      <c r="Q4">
        <f t="shared" si="1"/>
        <v>1.2100000000000657E-2</v>
      </c>
      <c r="R4">
        <f t="shared" si="1"/>
        <v>8.0999999999993352E-3</v>
      </c>
      <c r="S4">
        <f t="shared" si="1"/>
        <v>3.6099999999999133E-2</v>
      </c>
      <c r="T4">
        <f t="shared" si="1"/>
        <v>8.0999999999993352E-3</v>
      </c>
      <c r="U4">
        <f t="shared" si="1"/>
        <v>8.0999999999993352E-3</v>
      </c>
      <c r="V4">
        <f t="shared" si="1"/>
        <v>8.0999999999993352E-3</v>
      </c>
      <c r="W4">
        <f t="shared" si="1"/>
        <v>1.0000000000003127E-4</v>
      </c>
      <c r="X4">
        <f>SQRT(AVERAGE(N4:W4))</f>
        <v>0.12206555615733655</v>
      </c>
    </row>
    <row r="5" spans="1:24" x14ac:dyDescent="0.25">
      <c r="A5" s="1">
        <v>736.5</v>
      </c>
      <c r="B5" s="1">
        <v>269</v>
      </c>
      <c r="C5" s="1">
        <v>969.4</v>
      </c>
      <c r="D5" s="1">
        <v>257</v>
      </c>
      <c r="E5">
        <f t="shared" si="0"/>
        <v>71</v>
      </c>
      <c r="F5">
        <v>496.8</v>
      </c>
      <c r="G5" s="4">
        <f t="shared" ref="G5:G8" si="2">G4+F5</f>
        <v>1504.8</v>
      </c>
      <c r="H5" s="1">
        <v>364</v>
      </c>
      <c r="I5" s="1">
        <v>365</v>
      </c>
      <c r="J5" s="1">
        <v>228</v>
      </c>
      <c r="K5" s="1">
        <v>226</v>
      </c>
      <c r="L5" t="s">
        <v>7</v>
      </c>
      <c r="N5" t="s">
        <v>1</v>
      </c>
    </row>
    <row r="6" spans="1:24" x14ac:dyDescent="0.25">
      <c r="A6" s="1">
        <v>981.9</v>
      </c>
      <c r="B6" s="1">
        <v>282</v>
      </c>
      <c r="C6" s="1">
        <v>1214.9000000000001</v>
      </c>
      <c r="D6" s="1">
        <v>272</v>
      </c>
      <c r="E6">
        <f t="shared" si="0"/>
        <v>84</v>
      </c>
      <c r="F6">
        <v>454.5</v>
      </c>
      <c r="G6" s="4">
        <f t="shared" si="2"/>
        <v>1959.3</v>
      </c>
      <c r="H6" s="1">
        <v>484</v>
      </c>
      <c r="I6" s="1">
        <v>484</v>
      </c>
      <c r="J6" s="1">
        <v>298</v>
      </c>
      <c r="K6" s="1">
        <v>298</v>
      </c>
      <c r="L6" t="s">
        <v>9</v>
      </c>
      <c r="N6">
        <v>9.9</v>
      </c>
      <c r="O6">
        <v>9.9</v>
      </c>
      <c r="P6">
        <v>9.8000000000000007</v>
      </c>
      <c r="Q6">
        <v>9.9</v>
      </c>
      <c r="R6">
        <v>9.9</v>
      </c>
      <c r="S6">
        <v>10</v>
      </c>
      <c r="T6">
        <v>10</v>
      </c>
      <c r="U6">
        <v>9.9</v>
      </c>
      <c r="V6">
        <v>9.9</v>
      </c>
      <c r="W6">
        <v>9.8000000000000007</v>
      </c>
      <c r="X6">
        <f>AVERAGE(N6:W6)</f>
        <v>9.9000000000000021</v>
      </c>
    </row>
    <row r="7" spans="1:24" x14ac:dyDescent="0.25">
      <c r="A7" s="1">
        <v>1227.5999999999999</v>
      </c>
      <c r="B7" s="1">
        <v>293</v>
      </c>
      <c r="C7" s="1">
        <v>1460.3</v>
      </c>
      <c r="D7" s="1">
        <v>285</v>
      </c>
      <c r="E7">
        <f t="shared" si="0"/>
        <v>95</v>
      </c>
      <c r="F7">
        <v>496.9</v>
      </c>
      <c r="G7" s="4">
        <f t="shared" si="2"/>
        <v>2456.1999999999998</v>
      </c>
      <c r="H7" s="1">
        <v>594</v>
      </c>
      <c r="I7" s="1">
        <v>595</v>
      </c>
      <c r="J7" s="1">
        <v>370</v>
      </c>
      <c r="K7" s="1">
        <v>373</v>
      </c>
      <c r="L7" t="s">
        <v>10</v>
      </c>
      <c r="N7">
        <v>20.399999999999999</v>
      </c>
      <c r="O7">
        <v>20.2</v>
      </c>
      <c r="P7">
        <v>20.3</v>
      </c>
      <c r="Q7">
        <v>20.6</v>
      </c>
      <c r="R7">
        <v>20.399999999999999</v>
      </c>
      <c r="S7">
        <v>20.399999999999999</v>
      </c>
      <c r="T7">
        <v>20.3</v>
      </c>
      <c r="U7">
        <v>20.3</v>
      </c>
      <c r="V7">
        <v>20.2</v>
      </c>
      <c r="W7">
        <v>20</v>
      </c>
      <c r="X7">
        <f>AVERAGE(N7:W7)</f>
        <v>20.310000000000002</v>
      </c>
    </row>
    <row r="8" spans="1:24" x14ac:dyDescent="0.25">
      <c r="A8" s="1">
        <v>1705.9</v>
      </c>
      <c r="B8" s="1">
        <v>307</v>
      </c>
      <c r="C8" s="1">
        <v>1705.9</v>
      </c>
      <c r="D8" s="1">
        <v>308</v>
      </c>
      <c r="E8">
        <f t="shared" si="0"/>
        <v>109</v>
      </c>
      <c r="F8">
        <v>456.3</v>
      </c>
      <c r="G8" s="4">
        <f t="shared" si="2"/>
        <v>2912.5</v>
      </c>
      <c r="H8" s="1">
        <v>695</v>
      </c>
      <c r="I8" s="1">
        <v>704</v>
      </c>
      <c r="J8" s="1">
        <v>444</v>
      </c>
      <c r="K8" s="1">
        <v>446</v>
      </c>
      <c r="L8" t="s">
        <v>11</v>
      </c>
      <c r="N8">
        <f>($X$7-N7)*($X$7-N7)</f>
        <v>8.0999999999993352E-3</v>
      </c>
      <c r="O8">
        <f t="shared" ref="O8:W8" si="3">($X$7-O7)*($X$7-O7)</f>
        <v>1.2100000000000657E-2</v>
      </c>
      <c r="P8">
        <f t="shared" si="3"/>
        <v>1.0000000000003127E-4</v>
      </c>
      <c r="Q8">
        <f t="shared" si="3"/>
        <v>8.4099999999999508E-2</v>
      </c>
      <c r="R8">
        <f t="shared" si="3"/>
        <v>8.0999999999993352E-3</v>
      </c>
      <c r="S8">
        <f t="shared" si="3"/>
        <v>8.0999999999993352E-3</v>
      </c>
      <c r="T8">
        <f t="shared" si="3"/>
        <v>1.0000000000003127E-4</v>
      </c>
      <c r="U8">
        <f t="shared" si="3"/>
        <v>1.0000000000003127E-4</v>
      </c>
      <c r="V8">
        <f t="shared" si="3"/>
        <v>1.2100000000000657E-2</v>
      </c>
      <c r="W8">
        <f t="shared" si="3"/>
        <v>9.6100000000001407E-2</v>
      </c>
      <c r="X8">
        <f>SQRT(AVERAGE(N8:W8))</f>
        <v>0.15132745950421567</v>
      </c>
    </row>
    <row r="9" spans="1:24" x14ac:dyDescent="0.25">
      <c r="A9" s="1">
        <v>1227.5999999999999</v>
      </c>
      <c r="B9" s="1">
        <v>294</v>
      </c>
      <c r="C9" s="1">
        <v>1460.3</v>
      </c>
      <c r="D9" s="1">
        <v>285</v>
      </c>
      <c r="E9">
        <f t="shared" si="0"/>
        <v>96</v>
      </c>
      <c r="F9">
        <v>473.5</v>
      </c>
      <c r="G9" s="4">
        <f>G8+F9</f>
        <v>3386</v>
      </c>
      <c r="H9" s="1">
        <v>834</v>
      </c>
      <c r="I9" s="1">
        <v>815</v>
      </c>
      <c r="J9" s="1">
        <v>545</v>
      </c>
      <c r="K9" s="1">
        <v>535</v>
      </c>
      <c r="L9" t="s">
        <v>8</v>
      </c>
    </row>
    <row r="10" spans="1:24" x14ac:dyDescent="0.25">
      <c r="A10" s="1">
        <v>981.9</v>
      </c>
      <c r="B10" s="1">
        <v>281</v>
      </c>
      <c r="C10" s="1">
        <v>1214.9000000000001</v>
      </c>
      <c r="D10" s="1">
        <v>272</v>
      </c>
      <c r="E10">
        <f t="shared" si="0"/>
        <v>83</v>
      </c>
      <c r="F10">
        <v>456.3</v>
      </c>
      <c r="G10" s="4">
        <f>G9-F9</f>
        <v>2912.5</v>
      </c>
      <c r="H10" s="1">
        <v>725</v>
      </c>
      <c r="I10" s="1">
        <v>710</v>
      </c>
      <c r="J10" s="1">
        <v>450</v>
      </c>
      <c r="K10" s="1">
        <v>453</v>
      </c>
      <c r="L10" t="s">
        <v>11</v>
      </c>
    </row>
    <row r="11" spans="1:24" x14ac:dyDescent="0.25">
      <c r="A11" s="1">
        <v>736.5</v>
      </c>
      <c r="B11" s="1">
        <v>269</v>
      </c>
      <c r="C11" s="1">
        <v>969.4</v>
      </c>
      <c r="D11" s="1">
        <v>258</v>
      </c>
      <c r="E11">
        <f t="shared" si="0"/>
        <v>71</v>
      </c>
      <c r="F11">
        <v>496.9</v>
      </c>
      <c r="G11" s="4">
        <f t="shared" ref="G11:G15" si="4">G10-F10</f>
        <v>2456.1999999999998</v>
      </c>
      <c r="H11" s="1">
        <v>615</v>
      </c>
      <c r="I11" s="1">
        <v>590</v>
      </c>
      <c r="J11" s="1">
        <v>380</v>
      </c>
      <c r="K11" s="1">
        <v>381</v>
      </c>
      <c r="L11" t="s">
        <v>10</v>
      </c>
    </row>
    <row r="12" spans="1:24" x14ac:dyDescent="0.25">
      <c r="A12" s="1">
        <v>491</v>
      </c>
      <c r="B12" s="1">
        <v>256</v>
      </c>
      <c r="C12" s="1">
        <v>724</v>
      </c>
      <c r="D12" s="1">
        <v>244</v>
      </c>
      <c r="E12">
        <f t="shared" si="0"/>
        <v>58</v>
      </c>
      <c r="F12">
        <v>454.5</v>
      </c>
      <c r="G12" s="4">
        <f t="shared" si="4"/>
        <v>1959.2999999999997</v>
      </c>
      <c r="H12" s="1">
        <v>499</v>
      </c>
      <c r="I12" s="1">
        <v>490</v>
      </c>
      <c r="J12" s="1">
        <v>305</v>
      </c>
      <c r="K12" s="1">
        <v>307</v>
      </c>
      <c r="L12" t="s">
        <v>9</v>
      </c>
    </row>
    <row r="13" spans="1:24" x14ac:dyDescent="0.25">
      <c r="A13" s="1">
        <v>245.6</v>
      </c>
      <c r="B13" s="1">
        <v>241</v>
      </c>
      <c r="C13" s="1">
        <v>478.3</v>
      </c>
      <c r="D13" s="1">
        <v>228</v>
      </c>
      <c r="E13">
        <f t="shared" si="0"/>
        <v>43</v>
      </c>
      <c r="F13">
        <v>496.8</v>
      </c>
      <c r="G13" s="4">
        <f t="shared" si="4"/>
        <v>1504.7999999999997</v>
      </c>
      <c r="H13" s="1">
        <v>381</v>
      </c>
      <c r="I13" s="1">
        <v>380</v>
      </c>
      <c r="J13" s="1">
        <v>235</v>
      </c>
      <c r="K13" s="1">
        <v>236</v>
      </c>
      <c r="L13" t="s">
        <v>7</v>
      </c>
    </row>
    <row r="14" spans="1:24" x14ac:dyDescent="0.25">
      <c r="A14" s="1">
        <v>0</v>
      </c>
      <c r="B14" s="1">
        <v>198</v>
      </c>
      <c r="C14" s="1">
        <v>0</v>
      </c>
      <c r="D14" s="1">
        <v>199</v>
      </c>
      <c r="E14">
        <f t="shared" si="0"/>
        <v>0</v>
      </c>
      <c r="F14">
        <v>507</v>
      </c>
      <c r="G14" s="4">
        <f t="shared" si="4"/>
        <v>1007.9999999999998</v>
      </c>
      <c r="H14" s="1">
        <v>255</v>
      </c>
      <c r="I14" s="1">
        <v>253</v>
      </c>
      <c r="J14" s="1">
        <v>138</v>
      </c>
      <c r="K14" s="1">
        <v>160</v>
      </c>
      <c r="L14" t="s">
        <v>6</v>
      </c>
    </row>
    <row r="15" spans="1:24" x14ac:dyDescent="0.25">
      <c r="F15">
        <v>501</v>
      </c>
      <c r="G15" s="4">
        <f t="shared" si="4"/>
        <v>500.99999999999977</v>
      </c>
      <c r="H15" s="1">
        <v>124</v>
      </c>
      <c r="I15" s="1">
        <v>128</v>
      </c>
      <c r="J15" s="1">
        <v>80</v>
      </c>
      <c r="K15" s="1">
        <v>80</v>
      </c>
      <c r="L15" t="s">
        <v>5</v>
      </c>
    </row>
  </sheetData>
  <mergeCells count="3">
    <mergeCell ref="H1:I1"/>
    <mergeCell ref="J1:K1"/>
    <mergeCell ref="G1:G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2025-11-04T23:29:53Z</dcterms:modified>
</cp:coreProperties>
</file>