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3.1_1.3.2\Данные\"/>
    </mc:Choice>
  </mc:AlternateContent>
  <xr:revisionPtr revIDLastSave="0" documentId="13_ncr:1_{8EF7A336-0CA8-40D6-A990-198F5AE351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5" i="1"/>
  <c r="K1" i="1"/>
  <c r="J2" i="1"/>
  <c r="G2" i="1"/>
  <c r="I2" i="1"/>
  <c r="C2" i="1"/>
  <c r="D2" i="1"/>
  <c r="E2" i="1"/>
  <c r="F2" i="1"/>
  <c r="H2" i="1"/>
  <c r="B2" i="1"/>
  <c r="J1" i="1"/>
</calcChain>
</file>

<file path=xl/sharedStrings.xml><?xml version="1.0" encoding="utf-8"?>
<sst xmlns="http://schemas.openxmlformats.org/spreadsheetml/2006/main" count="8" uniqueCount="8">
  <si>
    <t xml:space="preserve">Угловые коэффициенты </t>
  </si>
  <si>
    <t>1.1</t>
  </si>
  <si>
    <t>1.2</t>
  </si>
  <si>
    <t>2.1</t>
  </si>
  <si>
    <t>2.2.</t>
  </si>
  <si>
    <t>2.3</t>
  </si>
  <si>
    <t>2.4</t>
  </si>
  <si>
    <t>Стат погрешность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</si>
</sst>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P2" sqref="P2"/>
    </sheetView>
  </sheetViews>
  <sheetFormatPr defaultRowHeight="15" x14ac:dyDescent="0.25"/>
  <cols>
    <col min="2" max="2" width="12" customWidth="1"/>
    <col min="7" max="7" width="8.85546875" customWidth="1"/>
    <col min="13" max="13" width="9.140625" style="5"/>
  </cols>
  <sheetData>
    <row r="1" spans="1:15" x14ac:dyDescent="0.25">
      <c r="A1" s="1"/>
      <c r="B1" s="2">
        <v>5.95</v>
      </c>
      <c r="C1" s="2">
        <v>5.95</v>
      </c>
      <c r="D1" s="2">
        <v>5.94</v>
      </c>
      <c r="E1" s="2">
        <v>5.94</v>
      </c>
      <c r="F1" s="2">
        <v>5.96</v>
      </c>
      <c r="G1" s="2">
        <v>5.97</v>
      </c>
      <c r="H1" s="2">
        <v>5.96</v>
      </c>
      <c r="I1" s="2">
        <v>5.96</v>
      </c>
      <c r="J1" s="2">
        <f>SUM(B1:I1)/8</f>
        <v>5.9537500000000003</v>
      </c>
      <c r="K1" s="2">
        <f>0.01+J2</f>
        <v>1.9921567416492002E-2</v>
      </c>
    </row>
    <row r="2" spans="1:15" x14ac:dyDescent="0.25">
      <c r="A2" s="1"/>
      <c r="B2" s="3">
        <f>POWER((B1-$J$1), 2)*100000</f>
        <v>1.4062500000001066</v>
      </c>
      <c r="C2" s="3">
        <f t="shared" ref="C2:H2" si="0">POWER((C1-$J$1), 2)*100000</f>
        <v>1.4062500000001066</v>
      </c>
      <c r="D2" s="3">
        <f t="shared" si="0"/>
        <v>18.906249999999805</v>
      </c>
      <c r="E2" s="3">
        <f t="shared" si="0"/>
        <v>18.906249999999805</v>
      </c>
      <c r="F2" s="3">
        <f t="shared" si="0"/>
        <v>3.9062499999995564</v>
      </c>
      <c r="G2" s="3">
        <f>POWER((G1-$J$1), 2)*100000</f>
        <v>26.406249999998153</v>
      </c>
      <c r="H2" s="3">
        <f t="shared" si="0"/>
        <v>3.9062499999995564</v>
      </c>
      <c r="I2" s="3">
        <f>POWER((I1-$J$1), 2)*100000</f>
        <v>3.9062499999995564</v>
      </c>
      <c r="J2" s="2">
        <f>SQRT(SUM(B2:I2)/800000)</f>
        <v>9.9215674164920033E-3</v>
      </c>
      <c r="K2" s="1"/>
      <c r="M2" s="5" t="s">
        <v>0</v>
      </c>
      <c r="O2" t="s">
        <v>7</v>
      </c>
    </row>
    <row r="3" spans="1:15" x14ac:dyDescent="0.25">
      <c r="A3" s="1"/>
      <c r="B3" s="1"/>
      <c r="M3" s="5" t="s">
        <v>1</v>
      </c>
      <c r="N3">
        <v>53.7</v>
      </c>
      <c r="O3">
        <v>0.9</v>
      </c>
    </row>
    <row r="4" spans="1:15" x14ac:dyDescent="0.25">
      <c r="A4" s="3">
        <v>478.3</v>
      </c>
      <c r="B4" s="1">
        <v>41</v>
      </c>
      <c r="C4" s="4">
        <v>0.3</v>
      </c>
      <c r="M4" s="5" t="s">
        <v>2</v>
      </c>
      <c r="N4">
        <v>53.6</v>
      </c>
      <c r="O4">
        <v>0.9</v>
      </c>
    </row>
    <row r="5" spans="1:15" x14ac:dyDescent="0.25">
      <c r="A5" s="3">
        <v>724</v>
      </c>
      <c r="B5" s="1">
        <v>58</v>
      </c>
      <c r="C5" s="4">
        <f>SQRT(C4*C4+ 0.3*0.3)</f>
        <v>0.42426406871192851</v>
      </c>
      <c r="M5" s="5" t="s">
        <v>3</v>
      </c>
      <c r="N5">
        <v>244</v>
      </c>
      <c r="O5">
        <v>3</v>
      </c>
    </row>
    <row r="6" spans="1:15" x14ac:dyDescent="0.25">
      <c r="A6" s="3">
        <v>969.4</v>
      </c>
      <c r="B6" s="1">
        <v>71</v>
      </c>
      <c r="C6" s="4">
        <f t="shared" ref="C6:C11" si="1">SQRT(C5*C5+ 0.3*0.3)</f>
        <v>0.51961524227066325</v>
      </c>
      <c r="M6" s="5" t="s">
        <v>4</v>
      </c>
      <c r="N6">
        <v>239</v>
      </c>
      <c r="O6">
        <v>2</v>
      </c>
    </row>
    <row r="7" spans="1:15" x14ac:dyDescent="0.25">
      <c r="A7" s="3">
        <v>1214.9000000000001</v>
      </c>
      <c r="B7" s="1">
        <v>84</v>
      </c>
      <c r="C7" s="4">
        <f t="shared" si="1"/>
        <v>0.60000000000000009</v>
      </c>
      <c r="M7" s="5" t="s">
        <v>5</v>
      </c>
      <c r="N7">
        <v>158</v>
      </c>
      <c r="O7">
        <v>2</v>
      </c>
    </row>
    <row r="8" spans="1:15" x14ac:dyDescent="0.25">
      <c r="A8" s="3">
        <v>1460.3</v>
      </c>
      <c r="B8" s="1">
        <v>95</v>
      </c>
      <c r="C8" s="4">
        <f t="shared" si="1"/>
        <v>0.67082039324993692</v>
      </c>
      <c r="M8" s="5" t="s">
        <v>6</v>
      </c>
      <c r="N8">
        <v>156</v>
      </c>
      <c r="O8">
        <v>2</v>
      </c>
    </row>
    <row r="9" spans="1:15" x14ac:dyDescent="0.25">
      <c r="A9" s="3">
        <v>1705.9</v>
      </c>
      <c r="B9" s="1">
        <v>109</v>
      </c>
      <c r="C9" s="4">
        <f t="shared" si="1"/>
        <v>0.73484692283495345</v>
      </c>
      <c r="N9">
        <v>52.8</v>
      </c>
      <c r="O9">
        <v>0.9</v>
      </c>
    </row>
    <row r="10" spans="1:15" x14ac:dyDescent="0.25">
      <c r="A10" s="3">
        <v>1460.3</v>
      </c>
      <c r="B10" s="1">
        <v>96</v>
      </c>
      <c r="C10">
        <v>0.7</v>
      </c>
    </row>
    <row r="11" spans="1:15" x14ac:dyDescent="0.25">
      <c r="A11" s="3">
        <v>1214.9000000000001</v>
      </c>
      <c r="B11" s="1">
        <v>83</v>
      </c>
      <c r="C11">
        <v>0.6</v>
      </c>
    </row>
    <row r="12" spans="1:15" x14ac:dyDescent="0.25">
      <c r="A12" s="3">
        <v>969.4</v>
      </c>
      <c r="B12" s="1">
        <v>71</v>
      </c>
      <c r="C12">
        <v>0.5</v>
      </c>
    </row>
    <row r="13" spans="1:15" x14ac:dyDescent="0.25">
      <c r="A13" s="3">
        <v>724</v>
      </c>
      <c r="B13" s="1">
        <v>58</v>
      </c>
      <c r="C13">
        <v>0.4</v>
      </c>
    </row>
    <row r="14" spans="1:15" x14ac:dyDescent="0.25">
      <c r="A14" s="3">
        <v>478.3</v>
      </c>
      <c r="B14" s="1">
        <v>43</v>
      </c>
      <c r="C14">
        <v>0.3</v>
      </c>
    </row>
    <row r="15" spans="1:15" x14ac:dyDescent="0.25">
      <c r="A15" s="1"/>
      <c r="B15" s="1"/>
    </row>
    <row r="16" spans="1:15" x14ac:dyDescent="0.25">
      <c r="A16" s="3">
        <v>491</v>
      </c>
      <c r="B16" s="1">
        <v>46</v>
      </c>
    </row>
    <row r="17" spans="1:2" x14ac:dyDescent="0.25">
      <c r="A17" s="3">
        <v>736.5</v>
      </c>
      <c r="B17" s="1">
        <v>59</v>
      </c>
    </row>
    <row r="18" spans="1:2" x14ac:dyDescent="0.25">
      <c r="A18" s="3">
        <v>981.9</v>
      </c>
      <c r="B18" s="1">
        <v>74</v>
      </c>
    </row>
    <row r="19" spans="1:2" x14ac:dyDescent="0.25">
      <c r="A19" s="3">
        <v>1227.5999999999999</v>
      </c>
      <c r="B19" s="1">
        <v>87</v>
      </c>
    </row>
    <row r="20" spans="1:2" x14ac:dyDescent="0.25">
      <c r="A20" s="3">
        <v>1705.9</v>
      </c>
      <c r="B20" s="1">
        <v>110</v>
      </c>
    </row>
    <row r="21" spans="1:2" x14ac:dyDescent="0.25">
      <c r="A21" s="3">
        <v>1227.5999999999999</v>
      </c>
      <c r="B21" s="1">
        <v>87</v>
      </c>
    </row>
    <row r="22" spans="1:2" x14ac:dyDescent="0.25">
      <c r="A22" s="3">
        <v>981.9</v>
      </c>
      <c r="B22" s="1">
        <v>74</v>
      </c>
    </row>
    <row r="23" spans="1:2" x14ac:dyDescent="0.25">
      <c r="A23" s="3">
        <v>736.5</v>
      </c>
      <c r="B23" s="1">
        <v>60</v>
      </c>
    </row>
    <row r="24" spans="1:2" x14ac:dyDescent="0.25">
      <c r="A24" s="3">
        <v>491</v>
      </c>
      <c r="B24" s="1">
        <v>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2DE8-C826-46CA-A52E-371A1EB4FF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2025-10-22T20:39:56Z</dcterms:modified>
</cp:coreProperties>
</file>