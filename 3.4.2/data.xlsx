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2"/>
  <c r="H2"/>
  <c r="M3"/>
  <c r="M4"/>
  <c r="M5"/>
  <c r="M6"/>
  <c r="M7"/>
  <c r="M8"/>
  <c r="M9"/>
  <c r="M10"/>
  <c r="M11"/>
  <c r="M2"/>
  <c r="F2"/>
  <c r="K3"/>
  <c r="K4"/>
  <c r="K5"/>
  <c r="K6"/>
  <c r="K7"/>
  <c r="K8"/>
  <c r="K9"/>
  <c r="K10"/>
  <c r="K11"/>
  <c r="K2"/>
  <c r="L2"/>
  <c r="J3"/>
  <c r="J4"/>
  <c r="J5"/>
  <c r="J6"/>
  <c r="J7"/>
  <c r="J8"/>
  <c r="J9"/>
  <c r="J10"/>
  <c r="J11"/>
  <c r="J2"/>
  <c r="D3"/>
  <c r="D4"/>
  <c r="D5"/>
  <c r="D6"/>
  <c r="D7"/>
  <c r="D8"/>
  <c r="D9"/>
  <c r="D10"/>
  <c r="D11"/>
  <c r="D2"/>
  <c r="E3"/>
  <c r="F3" s="1"/>
  <c r="G3" s="1"/>
  <c r="E4"/>
  <c r="F4" s="1"/>
  <c r="G4" s="1"/>
  <c r="E5"/>
  <c r="F5" s="1"/>
  <c r="G5" s="1"/>
  <c r="E6"/>
  <c r="F6" s="1"/>
  <c r="G6" s="1"/>
  <c r="E7"/>
  <c r="F7" s="1"/>
  <c r="G7" s="1"/>
  <c r="E8"/>
  <c r="F8" s="1"/>
  <c r="G8" s="1"/>
  <c r="E9"/>
  <c r="F9" s="1"/>
  <c r="G9" s="1"/>
  <c r="E10"/>
  <c r="F10" s="1"/>
  <c r="G10" s="1"/>
  <c r="E11"/>
  <c r="F11" s="1"/>
  <c r="G11" s="1"/>
  <c r="E2"/>
  <c r="G2" s="1"/>
  <c r="H10" l="1"/>
  <c r="H8"/>
  <c r="H6"/>
  <c r="H4"/>
  <c r="H11"/>
  <c r="H9"/>
  <c r="H7"/>
  <c r="H5"/>
  <c r="H3"/>
</calcChain>
</file>

<file path=xl/sharedStrings.xml><?xml version="1.0" encoding="utf-8"?>
<sst xmlns="http://schemas.openxmlformats.org/spreadsheetml/2006/main" count="8" uniqueCount="8">
  <si>
    <t>tau*tau</t>
  </si>
  <si>
    <t>tau2 - tau02</t>
  </si>
  <si>
    <t>t, цельсии</t>
  </si>
  <si>
    <t>dU, мВ</t>
  </si>
  <si>
    <t>tau, мкс</t>
  </si>
  <si>
    <t>e(tau), доли</t>
  </si>
  <si>
    <t>1/(tau2 - tau02)</t>
  </si>
  <si>
    <t>сигма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</si>
</sst>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"/>
  </numFmts>
  <fonts count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2" xfId="0" applyFill="1" applyBorder="1"/>
    <xf numFmtId="166" fontId="0" fillId="0" borderId="0" xfId="0" applyNumberFormat="1" applyBorder="1"/>
    <xf numFmtId="165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selection activeCell="I2" sqref="I2:I11"/>
    </sheetView>
  </sheetViews>
  <sheetFormatPr defaultRowHeight="15"/>
  <cols>
    <col min="1" max="1" width="20.42578125" customWidth="1"/>
    <col min="3" max="4" width="13.28515625" customWidth="1"/>
    <col min="6" max="6" width="12.28515625" customWidth="1"/>
    <col min="7" max="7" width="16" customWidth="1"/>
    <col min="8" max="8" width="9.5703125" bestFit="1" customWidth="1"/>
    <col min="9" max="9" width="9.5703125" customWidth="1"/>
  </cols>
  <sheetData>
    <row r="1" spans="1:13">
      <c r="A1" s="1" t="s">
        <v>2</v>
      </c>
      <c r="B1" s="1" t="s">
        <v>3</v>
      </c>
      <c r="C1" s="1" t="s">
        <v>4</v>
      </c>
      <c r="D1" s="4" t="s">
        <v>5</v>
      </c>
      <c r="E1" t="s">
        <v>0</v>
      </c>
      <c r="F1" t="s">
        <v>1</v>
      </c>
      <c r="G1" t="s">
        <v>6</v>
      </c>
      <c r="H1" t="s">
        <v>7</v>
      </c>
    </row>
    <row r="2" spans="1:13">
      <c r="A2" s="3">
        <v>14.88</v>
      </c>
      <c r="B2" s="2">
        <v>5.0000000000000001E-3</v>
      </c>
      <c r="C2" s="3">
        <v>10.74</v>
      </c>
      <c r="D2" s="5">
        <f>0.01/C2</f>
        <v>9.3109869646182495E-4</v>
      </c>
      <c r="E2">
        <f>C2*C2</f>
        <v>115.3476</v>
      </c>
      <c r="F2">
        <f>E2-81.812</f>
        <v>33.535600000000002</v>
      </c>
      <c r="G2" s="6">
        <f>1/F2</f>
        <v>2.9819057956321043E-2</v>
      </c>
      <c r="H2" s="6">
        <f>(2*D2*E2 + (0.005/9.045)*2*9.045*9.045)/F2*G2</f>
        <v>2.7142104036209278E-4</v>
      </c>
      <c r="I2" s="6">
        <f>(2*D2*E2 + (0.005/9.045)*2*9.045*9.045)/F2</f>
        <v>9.1022674411669995E-3</v>
      </c>
      <c r="J2" s="7">
        <f>24*B2</f>
        <v>0.12</v>
      </c>
      <c r="K2" s="7">
        <f>A2-J2</f>
        <v>14.760000000000002</v>
      </c>
      <c r="L2" s="8">
        <f>SQRT((0.01*0.01)+ (0.02*0.02))</f>
        <v>2.2360679774997897E-2</v>
      </c>
      <c r="M2">
        <f>(2*D2*E2 + (0.005/9.045)*2*9.045*9.045)</f>
        <v>0.30525000000000002</v>
      </c>
    </row>
    <row r="3" spans="1:13">
      <c r="A3" s="3">
        <v>16.02</v>
      </c>
      <c r="B3" s="2">
        <v>5.0000000000000001E-3</v>
      </c>
      <c r="C3" s="3">
        <v>10.7</v>
      </c>
      <c r="D3" s="5">
        <f t="shared" ref="D3:D11" si="0">0.01/C3</f>
        <v>9.3457943925233649E-4</v>
      </c>
      <c r="E3">
        <f t="shared" ref="E3:E11" si="1">C3*C3</f>
        <v>114.48999999999998</v>
      </c>
      <c r="F3">
        <f t="shared" ref="F3:F11" si="2">E3-81.812</f>
        <v>32.677999999999983</v>
      </c>
      <c r="G3" s="6">
        <f t="shared" ref="G3:G11" si="3">1/F3</f>
        <v>3.0601628006609968E-2</v>
      </c>
      <c r="H3" s="6">
        <f t="shared" ref="H3:H11" si="4">(2*D3*E3 + (0.005/9.045)*2*9.045*9.045)/F3*G3</f>
        <v>2.8510513637959513E-4</v>
      </c>
      <c r="I3" s="6">
        <f t="shared" ref="I3:I11" si="5">(2*D3*E3 + (0.005/9.045)*2*9.045*9.045)/F3</f>
        <v>9.3166656466124043E-3</v>
      </c>
      <c r="J3" s="7">
        <f t="shared" ref="J3:J11" si="6">24*B3</f>
        <v>0.12</v>
      </c>
      <c r="K3" s="7">
        <f t="shared" ref="K3:K11" si="7">A3-J3</f>
        <v>15.9</v>
      </c>
      <c r="M3">
        <f t="shared" ref="M3:M11" si="8">(2*D3*E3 + (0.005/9.045)*2*9.045*9.045)</f>
        <v>0.30445</v>
      </c>
    </row>
    <row r="4" spans="1:13">
      <c r="A4" s="3">
        <v>18.059999999999999</v>
      </c>
      <c r="B4" s="2">
        <v>7.0000000000000001E-3</v>
      </c>
      <c r="C4" s="3">
        <v>10.56</v>
      </c>
      <c r="D4" s="5">
        <f t="shared" si="0"/>
        <v>9.46969696969697E-4</v>
      </c>
      <c r="E4">
        <f t="shared" si="1"/>
        <v>111.51360000000001</v>
      </c>
      <c r="F4">
        <f t="shared" si="2"/>
        <v>29.701600000000013</v>
      </c>
      <c r="G4" s="6">
        <f t="shared" si="3"/>
        <v>3.3668219893877756E-2</v>
      </c>
      <c r="H4" s="6">
        <f t="shared" si="4"/>
        <v>3.4193506514760896E-4</v>
      </c>
      <c r="I4" s="6">
        <f t="shared" si="5"/>
        <v>1.0156018530988227E-2</v>
      </c>
      <c r="J4" s="7">
        <f t="shared" si="6"/>
        <v>0.16800000000000001</v>
      </c>
      <c r="K4" s="7">
        <f t="shared" si="7"/>
        <v>17.891999999999999</v>
      </c>
      <c r="M4">
        <f t="shared" si="8"/>
        <v>0.30165000000000003</v>
      </c>
    </row>
    <row r="5" spans="1:13">
      <c r="A5" s="3">
        <v>20.03</v>
      </c>
      <c r="B5" s="2">
        <v>0.01</v>
      </c>
      <c r="C5" s="3">
        <v>10.33</v>
      </c>
      <c r="D5" s="5">
        <f t="shared" si="0"/>
        <v>9.6805421103581804E-4</v>
      </c>
      <c r="E5">
        <f t="shared" si="1"/>
        <v>106.7089</v>
      </c>
      <c r="F5">
        <f t="shared" si="2"/>
        <v>24.896900000000002</v>
      </c>
      <c r="G5" s="6">
        <f t="shared" si="3"/>
        <v>4.0165643112194685E-2</v>
      </c>
      <c r="H5" s="6">
        <f t="shared" si="4"/>
        <v>4.7922449326934002E-4</v>
      </c>
      <c r="I5" s="6">
        <f t="shared" si="5"/>
        <v>1.1931204286477433E-2</v>
      </c>
      <c r="J5" s="7">
        <f t="shared" si="6"/>
        <v>0.24</v>
      </c>
      <c r="K5" s="7">
        <f t="shared" si="7"/>
        <v>19.790000000000003</v>
      </c>
      <c r="M5">
        <f t="shared" si="8"/>
        <v>0.29705000000000004</v>
      </c>
    </row>
    <row r="6" spans="1:13">
      <c r="A6" s="3">
        <v>22.04</v>
      </c>
      <c r="B6" s="2">
        <v>8.0000000000000002E-3</v>
      </c>
      <c r="C6" s="3">
        <v>9.9700000000000006</v>
      </c>
      <c r="D6" s="5">
        <f t="shared" si="0"/>
        <v>1.0030090270812437E-3</v>
      </c>
      <c r="E6">
        <f t="shared" si="1"/>
        <v>99.400900000000007</v>
      </c>
      <c r="F6">
        <f t="shared" si="2"/>
        <v>17.58890000000001</v>
      </c>
      <c r="G6" s="6">
        <f t="shared" si="3"/>
        <v>5.685403862663381E-2</v>
      </c>
      <c r="H6" s="6">
        <f t="shared" si="4"/>
        <v>9.3690583810981953E-4</v>
      </c>
      <c r="I6" s="6">
        <f t="shared" si="5"/>
        <v>1.6479143095929814E-2</v>
      </c>
      <c r="J6" s="7">
        <f t="shared" si="6"/>
        <v>0.192</v>
      </c>
      <c r="K6" s="7">
        <f t="shared" si="7"/>
        <v>21.847999999999999</v>
      </c>
      <c r="M6">
        <f t="shared" si="8"/>
        <v>0.28985000000000005</v>
      </c>
    </row>
    <row r="7" spans="1:13">
      <c r="A7" s="3">
        <v>24.01</v>
      </c>
      <c r="B7" s="2">
        <v>1.2E-2</v>
      </c>
      <c r="C7" s="3">
        <v>9.64</v>
      </c>
      <c r="D7" s="5">
        <f t="shared" si="0"/>
        <v>1.037344398340249E-3</v>
      </c>
      <c r="E7">
        <f t="shared" si="1"/>
        <v>92.929600000000008</v>
      </c>
      <c r="F7">
        <f t="shared" si="2"/>
        <v>11.11760000000001</v>
      </c>
      <c r="G7" s="6">
        <f t="shared" si="3"/>
        <v>8.9947470677124483E-2</v>
      </c>
      <c r="H7" s="6">
        <f t="shared" si="4"/>
        <v>2.2916475740533469E-3</v>
      </c>
      <c r="I7" s="6">
        <f t="shared" si="5"/>
        <v>2.5477621069295509E-2</v>
      </c>
      <c r="J7" s="7">
        <f t="shared" si="6"/>
        <v>0.28800000000000003</v>
      </c>
      <c r="K7" s="7">
        <f t="shared" si="7"/>
        <v>23.722000000000001</v>
      </c>
      <c r="M7">
        <f t="shared" si="8"/>
        <v>0.28325</v>
      </c>
    </row>
    <row r="8" spans="1:13">
      <c r="A8" s="3">
        <v>25.93</v>
      </c>
      <c r="B8" s="2">
        <v>1.4999999999999999E-2</v>
      </c>
      <c r="C8" s="3">
        <v>9.48</v>
      </c>
      <c r="D8" s="5">
        <f t="shared" si="0"/>
        <v>1.0548523206751054E-3</v>
      </c>
      <c r="E8">
        <f t="shared" si="1"/>
        <v>89.870400000000004</v>
      </c>
      <c r="F8">
        <f t="shared" si="2"/>
        <v>8.058400000000006</v>
      </c>
      <c r="G8" s="6">
        <f t="shared" si="3"/>
        <v>0.12409411297528036</v>
      </c>
      <c r="H8" s="6">
        <f t="shared" si="4"/>
        <v>4.3125876524778171E-3</v>
      </c>
      <c r="I8" s="6">
        <f t="shared" si="5"/>
        <v>3.4752556338727265E-2</v>
      </c>
      <c r="J8" s="7">
        <f t="shared" si="6"/>
        <v>0.36</v>
      </c>
      <c r="K8" s="7">
        <f t="shared" si="7"/>
        <v>25.57</v>
      </c>
      <c r="M8">
        <f t="shared" si="8"/>
        <v>0.28005000000000002</v>
      </c>
    </row>
    <row r="9" spans="1:13">
      <c r="A9" s="3">
        <v>30.02</v>
      </c>
      <c r="B9" s="2">
        <v>1.2999999999999999E-2</v>
      </c>
      <c r="C9" s="3">
        <v>9.32</v>
      </c>
      <c r="D9" s="5">
        <f t="shared" si="0"/>
        <v>1.0729613733905579E-3</v>
      </c>
      <c r="E9">
        <f t="shared" si="1"/>
        <v>86.862400000000008</v>
      </c>
      <c r="F9">
        <f t="shared" si="2"/>
        <v>5.0504000000000104</v>
      </c>
      <c r="G9" s="6">
        <f t="shared" si="3"/>
        <v>0.1980041184856641</v>
      </c>
      <c r="H9" s="6">
        <f t="shared" si="4"/>
        <v>1.0854078924987328E-2</v>
      </c>
      <c r="I9" s="6">
        <f t="shared" si="5"/>
        <v>5.4817440202756113E-2</v>
      </c>
      <c r="J9" s="7">
        <f t="shared" si="6"/>
        <v>0.312</v>
      </c>
      <c r="K9" s="7">
        <f t="shared" si="7"/>
        <v>29.707999999999998</v>
      </c>
      <c r="M9">
        <f t="shared" si="8"/>
        <v>0.27685000000000004</v>
      </c>
    </row>
    <row r="10" spans="1:13">
      <c r="A10" s="3">
        <v>34.049999999999997</v>
      </c>
      <c r="B10" s="2">
        <v>1.2E-2</v>
      </c>
      <c r="C10" s="3">
        <v>9.25</v>
      </c>
      <c r="D10" s="5">
        <f t="shared" si="0"/>
        <v>1.0810810810810811E-3</v>
      </c>
      <c r="E10">
        <f t="shared" si="1"/>
        <v>85.5625</v>
      </c>
      <c r="F10">
        <f t="shared" si="2"/>
        <v>3.7505000000000024</v>
      </c>
      <c r="G10" s="6">
        <f t="shared" si="3"/>
        <v>0.26663111585121968</v>
      </c>
      <c r="H10" s="6">
        <f t="shared" si="4"/>
        <v>1.9582333251891321E-2</v>
      </c>
      <c r="I10" s="6">
        <f t="shared" si="5"/>
        <v>7.3443540861218445E-2</v>
      </c>
      <c r="J10" s="7">
        <f t="shared" si="6"/>
        <v>0.28800000000000003</v>
      </c>
      <c r="K10" s="7">
        <f t="shared" si="7"/>
        <v>33.762</v>
      </c>
      <c r="M10">
        <f t="shared" si="8"/>
        <v>0.27544999999999997</v>
      </c>
    </row>
    <row r="11" spans="1:13">
      <c r="A11" s="3">
        <v>36.9</v>
      </c>
      <c r="B11" s="2">
        <v>1.2E-2</v>
      </c>
      <c r="C11" s="3">
        <v>9.24</v>
      </c>
      <c r="D11" s="5">
        <f t="shared" si="0"/>
        <v>1.0822510822510823E-3</v>
      </c>
      <c r="E11">
        <f t="shared" si="1"/>
        <v>85.377600000000001</v>
      </c>
      <c r="F11">
        <f t="shared" si="2"/>
        <v>3.5656000000000034</v>
      </c>
      <c r="G11" s="6">
        <f t="shared" si="3"/>
        <v>0.28045770697778749</v>
      </c>
      <c r="H11" s="6">
        <f t="shared" si="4"/>
        <v>2.1650208617241398E-2</v>
      </c>
      <c r="I11" s="6">
        <f t="shared" si="5"/>
        <v>7.7195983845636001E-2</v>
      </c>
      <c r="J11" s="7">
        <f t="shared" si="6"/>
        <v>0.28800000000000003</v>
      </c>
      <c r="K11" s="7">
        <f t="shared" si="7"/>
        <v>36.612000000000002</v>
      </c>
      <c r="M11">
        <f t="shared" si="8"/>
        <v>0.27524999999999999</v>
      </c>
    </row>
    <row r="14" spans="1:13">
      <c r="K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2026-09-08T04:04:03Z</dcterms:created>
  <dcterms:modified xsi:type="dcterms:W3CDTF">2026-09-13T13:50:54Z</dcterms:modified>
</cp:coreProperties>
</file>