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авел Андреевич\Desktop\"/>
    </mc:Choice>
  </mc:AlternateContent>
  <xr:revisionPtr revIDLastSave="0" documentId="13_ncr:1_{A7EEB13A-8B25-47BF-8C64-89CA8E196242}" xr6:coauthVersionLast="47" xr6:coauthVersionMax="47" xr10:uidLastSave="{00000000-0000-0000-0000-000000000000}"/>
  <bookViews>
    <workbookView xWindow="-120" yWindow="-120" windowWidth="20730" windowHeight="11160" xr2:uid="{D5108C51-7490-464B-AB2D-C5BE6634D28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G44" i="1"/>
  <c r="G45" i="1"/>
  <c r="F44" i="1"/>
  <c r="F45" i="1"/>
  <c r="F43" i="1"/>
  <c r="K23" i="1"/>
  <c r="L23" i="1"/>
  <c r="J23" i="1"/>
  <c r="I34" i="1"/>
  <c r="H12" i="1"/>
  <c r="I12" i="1"/>
  <c r="I23" i="1"/>
  <c r="H34" i="1"/>
  <c r="H23" i="1"/>
  <c r="G34" i="1"/>
  <c r="E34" i="1"/>
  <c r="F34" i="1"/>
  <c r="D34" i="1"/>
  <c r="G23" i="1"/>
  <c r="E23" i="1"/>
  <c r="F23" i="1"/>
  <c r="D23" i="1"/>
  <c r="G12" i="1"/>
  <c r="F12" i="1"/>
  <c r="E12" i="1"/>
  <c r="D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E3" i="1"/>
  <c r="E4" i="1"/>
  <c r="E5" i="1"/>
  <c r="E6" i="1"/>
  <c r="E7" i="1"/>
  <c r="E8" i="1"/>
  <c r="E9" i="1"/>
  <c r="E10" i="1"/>
  <c r="E11" i="1"/>
  <c r="E2" i="1"/>
  <c r="B7" i="1"/>
  <c r="B8" i="1"/>
  <c r="B9" i="1"/>
  <c r="B10" i="1"/>
  <c r="B11" i="1"/>
  <c r="N3" i="1"/>
  <c r="N4" i="1"/>
  <c r="N5" i="1"/>
  <c r="N6" i="1"/>
  <c r="N7" i="1"/>
  <c r="N8" i="1"/>
  <c r="N9" i="1"/>
  <c r="N10" i="1"/>
  <c r="N11" i="1"/>
  <c r="N2" i="1"/>
  <c r="H3" i="1"/>
  <c r="H4" i="1"/>
  <c r="H5" i="1"/>
  <c r="H6" i="1"/>
  <c r="H7" i="1"/>
  <c r="H8" i="1"/>
  <c r="H9" i="1"/>
  <c r="H10" i="1"/>
  <c r="H11" i="1"/>
  <c r="H2" i="1"/>
  <c r="B2" i="1"/>
  <c r="B3" i="1"/>
  <c r="B4" i="1"/>
  <c r="B5" i="1"/>
  <c r="B6" i="1"/>
  <c r="F6" i="1" l="1"/>
  <c r="D6" i="1"/>
  <c r="F5" i="1"/>
  <c r="D5" i="1"/>
  <c r="F4" i="1"/>
  <c r="D4" i="1"/>
  <c r="F3" i="1"/>
  <c r="D3" i="1"/>
  <c r="F2" i="1"/>
  <c r="D2" i="1"/>
  <c r="F11" i="1"/>
  <c r="D11" i="1"/>
  <c r="F10" i="1"/>
  <c r="D10" i="1"/>
  <c r="F9" i="1"/>
  <c r="D9" i="1"/>
  <c r="F8" i="1"/>
  <c r="D8" i="1"/>
  <c r="F7" i="1"/>
  <c r="D7" i="1"/>
</calcChain>
</file>

<file path=xl/sharedStrings.xml><?xml version="1.0" encoding="utf-8"?>
<sst xmlns="http://schemas.openxmlformats.org/spreadsheetml/2006/main" count="21" uniqueCount="13">
  <si>
    <t>V, мВ</t>
  </si>
  <si>
    <t>I, мА</t>
  </si>
  <si>
    <t>V, дел</t>
  </si>
  <si>
    <t>VI</t>
  </si>
  <si>
    <t>I*I</t>
  </si>
  <si>
    <t>V*V</t>
  </si>
  <si>
    <t>R</t>
  </si>
  <si>
    <t>dR</t>
  </si>
  <si>
    <t>S(V)</t>
  </si>
  <si>
    <t>S(I)</t>
  </si>
  <si>
    <t>d</t>
  </si>
  <si>
    <t>l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</si>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</sst>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6" formatCode="0.000"/>
    <numFmt numFmtId="167" formatCode="0.0000"/>
    <numFmt numFmtId="168" formatCode="0.00000"/>
    <numFmt numFmtId="169" formatCode="0.000000"/>
    <numFmt numFmtId="172" formatCode="0.000000000"/>
    <numFmt numFmtId="180" formatCode="0.00000000000000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Border="1"/>
    <xf numFmtId="164" fontId="0" fillId="0" borderId="0" xfId="0" applyNumberFormat="1" applyBorder="1"/>
    <xf numFmtId="0" fontId="0" fillId="2" borderId="0" xfId="0" applyFill="1"/>
    <xf numFmtId="164" fontId="0" fillId="2" borderId="0" xfId="0" applyNumberFormat="1" applyFill="1"/>
    <xf numFmtId="164" fontId="0" fillId="2" borderId="0" xfId="0" applyNumberFormat="1" applyFill="1" applyBorder="1"/>
    <xf numFmtId="0" fontId="0" fillId="2" borderId="0" xfId="0" applyFill="1" applyBorder="1"/>
    <xf numFmtId="2" fontId="0" fillId="0" borderId="0" xfId="0" applyNumberFormat="1" applyBorder="1"/>
    <xf numFmtId="2" fontId="0" fillId="2" borderId="0" xfId="0" applyNumberFormat="1" applyFill="1" applyBorder="1"/>
    <xf numFmtId="2" fontId="0" fillId="0" borderId="0" xfId="0" applyNumberFormat="1" applyFill="1" applyBorder="1"/>
    <xf numFmtId="0" fontId="1" fillId="2" borderId="0" xfId="0" applyFont="1" applyFill="1" applyBorder="1"/>
    <xf numFmtId="2" fontId="0" fillId="2" borderId="0" xfId="0" applyNumberForma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 applyBorder="1"/>
    <xf numFmtId="169" fontId="0" fillId="2" borderId="0" xfId="0" applyNumberFormat="1" applyFill="1" applyBorder="1"/>
    <xf numFmtId="169" fontId="0" fillId="0" borderId="0" xfId="0" applyNumberFormat="1"/>
    <xf numFmtId="172" fontId="0" fillId="0" borderId="0" xfId="0" applyNumberFormat="1"/>
    <xf numFmtId="18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2480-799C-42D9-979F-E1B489E1A4E8}">
  <dimension ref="A1:Z45"/>
  <sheetViews>
    <sheetView tabSelected="1" topLeftCell="A40" zoomScale="98" zoomScaleNormal="98" workbookViewId="0">
      <selection activeCell="G43" sqref="G43"/>
    </sheetView>
  </sheetViews>
  <sheetFormatPr defaultRowHeight="15" x14ac:dyDescent="0.25"/>
  <cols>
    <col min="3" max="3" width="9.140625" style="2"/>
    <col min="4" max="5" width="9.140625" style="1"/>
    <col min="6" max="6" width="11.85546875" style="1" bestFit="1" customWidth="1"/>
    <col min="7" max="7" width="99.7109375" customWidth="1"/>
    <col min="9" max="9" width="9.7109375" style="19" bestFit="1" customWidth="1"/>
    <col min="10" max="11" width="9.7109375" style="2" bestFit="1" customWidth="1"/>
    <col min="12" max="12" width="9.7109375" bestFit="1" customWidth="1"/>
    <col min="15" max="15" width="9.140625" style="2"/>
  </cols>
  <sheetData>
    <row r="1" spans="1:26" x14ac:dyDescent="0.25">
      <c r="A1" s="3" t="s">
        <v>2</v>
      </c>
      <c r="B1" s="3" t="s">
        <v>0</v>
      </c>
      <c r="C1" s="4" t="s">
        <v>1</v>
      </c>
      <c r="D1" s="9" t="s">
        <v>3</v>
      </c>
      <c r="E1" s="9" t="s">
        <v>4</v>
      </c>
      <c r="F1" s="11" t="s">
        <v>5</v>
      </c>
      <c r="G1" s="3" t="s">
        <v>2</v>
      </c>
      <c r="H1" s="3" t="s">
        <v>0</v>
      </c>
      <c r="I1" s="17" t="s">
        <v>1</v>
      </c>
      <c r="J1" s="4"/>
      <c r="K1" s="4"/>
      <c r="L1" s="3"/>
      <c r="M1" s="3" t="s">
        <v>2</v>
      </c>
      <c r="N1" s="3" t="s">
        <v>0</v>
      </c>
      <c r="O1" s="4" t="s">
        <v>1</v>
      </c>
      <c r="P1" s="3"/>
    </row>
    <row r="2" spans="1:26" x14ac:dyDescent="0.25">
      <c r="A2" s="3">
        <v>65</v>
      </c>
      <c r="B2" s="3">
        <f t="shared" ref="B2:B9" si="0">A2*2</f>
        <v>130</v>
      </c>
      <c r="C2" s="4">
        <v>25.7</v>
      </c>
      <c r="D2" s="9">
        <f>B2*C2</f>
        <v>3341</v>
      </c>
      <c r="E2" s="9">
        <f>C2*C2</f>
        <v>660.49</v>
      </c>
      <c r="F2" s="9">
        <f>B2*B2</f>
        <v>16900</v>
      </c>
      <c r="G2" s="3">
        <v>65</v>
      </c>
      <c r="H2" s="3">
        <f>G2*2</f>
        <v>130</v>
      </c>
      <c r="I2" s="17">
        <v>42.2</v>
      </c>
      <c r="J2" s="4"/>
      <c r="K2" s="4"/>
      <c r="L2" s="3"/>
      <c r="M2" s="3">
        <v>65</v>
      </c>
      <c r="N2" s="3">
        <f>M2*2</f>
        <v>130</v>
      </c>
      <c r="O2" s="4">
        <v>63.7</v>
      </c>
      <c r="P2" s="3"/>
      <c r="Q2" s="1">
        <v>0.3</v>
      </c>
      <c r="R2" s="1">
        <v>0.3</v>
      </c>
      <c r="S2" s="1">
        <v>0.3</v>
      </c>
      <c r="T2" s="1">
        <v>0.35</v>
      </c>
      <c r="U2" s="1">
        <v>0.3</v>
      </c>
      <c r="V2" s="1">
        <v>0.35</v>
      </c>
      <c r="W2" s="1">
        <v>0.35</v>
      </c>
      <c r="X2" s="1">
        <v>0.3</v>
      </c>
      <c r="Y2" s="1">
        <v>0.3</v>
      </c>
      <c r="Z2" s="1">
        <v>0.3</v>
      </c>
    </row>
    <row r="3" spans="1:26" x14ac:dyDescent="0.25">
      <c r="A3" s="3">
        <v>70</v>
      </c>
      <c r="B3" s="3">
        <f t="shared" si="0"/>
        <v>140</v>
      </c>
      <c r="C3" s="4">
        <v>27.7</v>
      </c>
      <c r="D3" s="9">
        <f t="shared" ref="D3:D11" si="1">B3*C3</f>
        <v>3878</v>
      </c>
      <c r="E3" s="9">
        <f>C3*C3</f>
        <v>767.29</v>
      </c>
      <c r="F3" s="9">
        <f>B3*B3</f>
        <v>19600</v>
      </c>
      <c r="G3" s="3">
        <v>70</v>
      </c>
      <c r="H3" s="3">
        <f t="shared" ref="H3:H11" si="2">G3*2</f>
        <v>140</v>
      </c>
      <c r="I3" s="17">
        <v>45.4</v>
      </c>
      <c r="J3" s="4"/>
      <c r="K3" s="4"/>
      <c r="L3" s="3"/>
      <c r="M3" s="3">
        <v>70</v>
      </c>
      <c r="N3" s="3">
        <f t="shared" ref="N3:N11" si="3">M3*2</f>
        <v>140</v>
      </c>
      <c r="O3" s="4">
        <v>68.099999999999994</v>
      </c>
      <c r="P3" s="3"/>
      <c r="Q3" s="1">
        <v>0.31</v>
      </c>
      <c r="R3" s="1">
        <v>0.3</v>
      </c>
      <c r="S3" s="1">
        <v>0.3</v>
      </c>
      <c r="T3" s="1">
        <v>0.3</v>
      </c>
      <c r="U3" s="1">
        <v>0.3</v>
      </c>
      <c r="V3" s="1">
        <v>0.28999999999999998</v>
      </c>
      <c r="W3" s="1">
        <v>0.28999999999999998</v>
      </c>
      <c r="X3" s="1">
        <v>0.3</v>
      </c>
      <c r="Y3" s="1">
        <v>0.3</v>
      </c>
      <c r="Z3" s="1">
        <v>0.28999999999999998</v>
      </c>
    </row>
    <row r="4" spans="1:26" x14ac:dyDescent="0.25">
      <c r="A4" s="3">
        <v>80</v>
      </c>
      <c r="B4" s="3">
        <f t="shared" si="0"/>
        <v>160</v>
      </c>
      <c r="C4" s="4">
        <v>31.7</v>
      </c>
      <c r="D4" s="9">
        <f t="shared" si="1"/>
        <v>5072</v>
      </c>
      <c r="E4" s="9">
        <f>C4*C4</f>
        <v>1004.89</v>
      </c>
      <c r="F4" s="9">
        <f>B4*B4</f>
        <v>25600</v>
      </c>
      <c r="G4" s="3">
        <v>85</v>
      </c>
      <c r="H4" s="3">
        <f t="shared" si="2"/>
        <v>170</v>
      </c>
      <c r="I4" s="17">
        <v>55.3</v>
      </c>
      <c r="J4" s="4"/>
      <c r="K4" s="4"/>
      <c r="L4" s="3"/>
      <c r="M4" s="3">
        <v>90</v>
      </c>
      <c r="N4" s="3">
        <f t="shared" si="3"/>
        <v>180</v>
      </c>
      <c r="O4" s="4">
        <v>87.7</v>
      </c>
      <c r="P4" s="3"/>
    </row>
    <row r="5" spans="1:26" x14ac:dyDescent="0.25">
      <c r="A5" s="3">
        <v>95</v>
      </c>
      <c r="B5" s="3">
        <f t="shared" si="0"/>
        <v>190</v>
      </c>
      <c r="C5" s="4">
        <v>37.5</v>
      </c>
      <c r="D5" s="9">
        <f t="shared" si="1"/>
        <v>7125</v>
      </c>
      <c r="E5" s="9">
        <f>C5*C5</f>
        <v>1406.25</v>
      </c>
      <c r="F5" s="9">
        <f>B5*B5</f>
        <v>36100</v>
      </c>
      <c r="G5" s="3">
        <v>95</v>
      </c>
      <c r="H5" s="3">
        <f t="shared" si="2"/>
        <v>190</v>
      </c>
      <c r="I5" s="17">
        <v>62</v>
      </c>
      <c r="J5" s="4"/>
      <c r="K5" s="4"/>
      <c r="L5" s="3"/>
      <c r="M5" s="3">
        <v>115</v>
      </c>
      <c r="N5" s="3">
        <f t="shared" si="3"/>
        <v>230</v>
      </c>
      <c r="O5" s="4">
        <v>111.9</v>
      </c>
      <c r="P5" s="3"/>
    </row>
    <row r="6" spans="1:26" x14ac:dyDescent="0.25">
      <c r="A6" s="3">
        <v>115</v>
      </c>
      <c r="B6" s="3">
        <f t="shared" si="0"/>
        <v>230</v>
      </c>
      <c r="C6" s="4">
        <v>45.2</v>
      </c>
      <c r="D6" s="9">
        <f t="shared" si="1"/>
        <v>10396</v>
      </c>
      <c r="E6" s="9">
        <f>C6*C6</f>
        <v>2043.0400000000002</v>
      </c>
      <c r="F6" s="9">
        <f>B6*B6</f>
        <v>52900</v>
      </c>
      <c r="G6" s="3">
        <v>100</v>
      </c>
      <c r="H6" s="3">
        <f t="shared" si="2"/>
        <v>200</v>
      </c>
      <c r="I6" s="17">
        <v>65.3</v>
      </c>
      <c r="J6" s="4"/>
      <c r="K6" s="4"/>
      <c r="L6" s="3"/>
      <c r="M6" s="3">
        <v>130</v>
      </c>
      <c r="N6" s="3">
        <f t="shared" si="3"/>
        <v>260</v>
      </c>
      <c r="O6" s="4">
        <v>126.4</v>
      </c>
      <c r="P6" s="3"/>
    </row>
    <row r="7" spans="1:26" x14ac:dyDescent="0.25">
      <c r="A7" s="3">
        <v>105</v>
      </c>
      <c r="B7" s="3">
        <f t="shared" si="0"/>
        <v>210</v>
      </c>
      <c r="C7" s="4">
        <v>41.4</v>
      </c>
      <c r="D7" s="9">
        <f t="shared" si="1"/>
        <v>8694</v>
      </c>
      <c r="E7" s="9">
        <f>C7*C7</f>
        <v>1713.9599999999998</v>
      </c>
      <c r="F7" s="9">
        <f>B7*B7</f>
        <v>44100</v>
      </c>
      <c r="G7" s="3">
        <v>80</v>
      </c>
      <c r="H7" s="3">
        <f t="shared" si="2"/>
        <v>160</v>
      </c>
      <c r="I7" s="17">
        <v>52</v>
      </c>
      <c r="J7" s="4"/>
      <c r="K7" s="4"/>
      <c r="L7" s="3"/>
      <c r="M7" s="3">
        <v>99</v>
      </c>
      <c r="N7" s="3">
        <f t="shared" si="3"/>
        <v>198</v>
      </c>
      <c r="O7" s="4">
        <v>96.9</v>
      </c>
      <c r="P7" s="3"/>
    </row>
    <row r="8" spans="1:26" x14ac:dyDescent="0.25">
      <c r="A8" s="3">
        <v>90</v>
      </c>
      <c r="B8" s="3">
        <f t="shared" si="0"/>
        <v>180</v>
      </c>
      <c r="C8" s="4">
        <v>35.299999999999997</v>
      </c>
      <c r="D8" s="9">
        <f t="shared" si="1"/>
        <v>6353.9999999999991</v>
      </c>
      <c r="E8" s="9">
        <f>C8*C8</f>
        <v>1246.0899999999997</v>
      </c>
      <c r="F8" s="9">
        <f>B8*B8</f>
        <v>32400</v>
      </c>
      <c r="G8" s="3">
        <v>60</v>
      </c>
      <c r="H8" s="3">
        <f t="shared" si="2"/>
        <v>120</v>
      </c>
      <c r="I8" s="17">
        <v>39.299999999999997</v>
      </c>
      <c r="J8" s="4"/>
      <c r="K8" s="4"/>
      <c r="L8" s="3"/>
      <c r="M8" s="3">
        <v>80</v>
      </c>
      <c r="N8" s="3">
        <f t="shared" si="3"/>
        <v>160</v>
      </c>
      <c r="O8" s="4">
        <v>77.8</v>
      </c>
      <c r="P8" s="3"/>
    </row>
    <row r="9" spans="1:26" x14ac:dyDescent="0.25">
      <c r="A9" s="3">
        <v>75</v>
      </c>
      <c r="B9" s="3">
        <f t="shared" si="0"/>
        <v>150</v>
      </c>
      <c r="C9" s="4">
        <v>29.5</v>
      </c>
      <c r="D9" s="9">
        <f t="shared" si="1"/>
        <v>4425</v>
      </c>
      <c r="E9" s="9">
        <f>C9*C9</f>
        <v>870.25</v>
      </c>
      <c r="F9" s="9">
        <f>B9*B9</f>
        <v>22500</v>
      </c>
      <c r="G9" s="3">
        <v>50</v>
      </c>
      <c r="H9" s="3">
        <f t="shared" si="2"/>
        <v>100</v>
      </c>
      <c r="I9" s="17">
        <v>32.700000000000003</v>
      </c>
      <c r="J9" s="4"/>
      <c r="K9" s="4"/>
      <c r="L9" s="3"/>
      <c r="M9" s="3">
        <v>60</v>
      </c>
      <c r="N9" s="3">
        <f t="shared" si="3"/>
        <v>120</v>
      </c>
      <c r="O9" s="4">
        <v>58.2</v>
      </c>
      <c r="P9" s="3"/>
    </row>
    <row r="10" spans="1:26" x14ac:dyDescent="0.25">
      <c r="A10" s="3">
        <v>72</v>
      </c>
      <c r="B10" s="3">
        <f t="shared" ref="B10" si="4">A10*2</f>
        <v>144</v>
      </c>
      <c r="C10" s="4">
        <v>28.4</v>
      </c>
      <c r="D10" s="9">
        <f t="shared" si="1"/>
        <v>4089.6</v>
      </c>
      <c r="E10" s="9">
        <f>C10*C10</f>
        <v>806.56</v>
      </c>
      <c r="F10" s="9">
        <f>B10*B10</f>
        <v>20736</v>
      </c>
      <c r="G10" s="3">
        <v>45</v>
      </c>
      <c r="H10" s="3">
        <f t="shared" si="2"/>
        <v>90</v>
      </c>
      <c r="I10" s="17">
        <v>29.3</v>
      </c>
      <c r="J10" s="4"/>
      <c r="K10" s="4"/>
      <c r="L10" s="3"/>
      <c r="M10" s="3">
        <v>50</v>
      </c>
      <c r="N10" s="3">
        <f t="shared" si="3"/>
        <v>100</v>
      </c>
      <c r="O10" s="4">
        <v>48.5</v>
      </c>
      <c r="P10" s="3"/>
    </row>
    <row r="11" spans="1:26" x14ac:dyDescent="0.25">
      <c r="A11" s="3">
        <v>63</v>
      </c>
      <c r="B11" s="3">
        <f t="shared" ref="B11" si="5">A11*2</f>
        <v>126</v>
      </c>
      <c r="C11" s="4">
        <v>24.7</v>
      </c>
      <c r="D11" s="9">
        <f t="shared" si="1"/>
        <v>3112.2</v>
      </c>
      <c r="E11" s="9">
        <f>C11*C11</f>
        <v>610.08999999999992</v>
      </c>
      <c r="F11" s="9">
        <f>B11*B11</f>
        <v>15876</v>
      </c>
      <c r="G11" s="3">
        <v>40</v>
      </c>
      <c r="H11" s="3">
        <f t="shared" si="2"/>
        <v>80</v>
      </c>
      <c r="I11" s="17">
        <v>26</v>
      </c>
      <c r="J11" s="4" t="s">
        <v>8</v>
      </c>
      <c r="K11" s="4" t="s">
        <v>9</v>
      </c>
      <c r="L11" s="3"/>
      <c r="M11" s="3">
        <v>30</v>
      </c>
      <c r="N11" s="3">
        <f t="shared" si="3"/>
        <v>60</v>
      </c>
      <c r="O11" s="4">
        <v>29.2</v>
      </c>
      <c r="P11" s="3"/>
    </row>
    <row r="12" spans="1:26" s="5" customFormat="1" x14ac:dyDescent="0.25">
      <c r="C12" s="6"/>
      <c r="D12" s="10">
        <f>AVERAGE(D2:D11)</f>
        <v>5648.6799999999994</v>
      </c>
      <c r="E12" s="10">
        <f>AVERAGE(E2:E11)</f>
        <v>1112.8910000000001</v>
      </c>
      <c r="F12" s="10">
        <f>AVERAGE(F2:F11)</f>
        <v>28671.200000000001</v>
      </c>
      <c r="G12" s="12">
        <f>D12/E12</f>
        <v>5.0756812661797062</v>
      </c>
      <c r="H12" s="8">
        <f>F12/E12</f>
        <v>25.762810553773907</v>
      </c>
      <c r="I12" s="18">
        <f>SQRT(H12-G12*G12)/SQRT(10)</f>
        <v>5.198441365255586E-3</v>
      </c>
      <c r="J12" s="7">
        <v>0.5</v>
      </c>
      <c r="K12" s="10">
        <v>0.05</v>
      </c>
      <c r="L12" s="8"/>
      <c r="M12" s="8"/>
      <c r="N12" s="8"/>
      <c r="O12" s="7"/>
      <c r="P12" s="8"/>
    </row>
    <row r="13" spans="1:26" x14ac:dyDescent="0.25">
      <c r="B13">
        <v>130</v>
      </c>
      <c r="C13" s="2">
        <v>42.2</v>
      </c>
      <c r="D13" s="9">
        <f t="shared" ref="D13:D33" si="6">B13*C13</f>
        <v>5486</v>
      </c>
      <c r="E13" s="9">
        <f>C13*C13</f>
        <v>1780.8400000000001</v>
      </c>
      <c r="F13" s="9">
        <f>B13*B13</f>
        <v>16900</v>
      </c>
      <c r="G13" s="3"/>
      <c r="H13" s="3"/>
      <c r="I13" s="17"/>
      <c r="J13" s="4"/>
      <c r="K13" s="4"/>
      <c r="L13" s="3"/>
      <c r="M13" s="3"/>
      <c r="N13" s="3"/>
      <c r="O13" s="4"/>
      <c r="P13" s="3"/>
    </row>
    <row r="14" spans="1:26" x14ac:dyDescent="0.25">
      <c r="B14">
        <v>140</v>
      </c>
      <c r="C14" s="2">
        <v>45.4</v>
      </c>
      <c r="D14" s="9">
        <f t="shared" si="6"/>
        <v>6356</v>
      </c>
      <c r="E14" s="9">
        <f>C14*C14</f>
        <v>2061.16</v>
      </c>
      <c r="F14" s="9">
        <f>B14*B14</f>
        <v>19600</v>
      </c>
      <c r="G14" s="3"/>
      <c r="H14" s="3"/>
      <c r="I14" s="17"/>
      <c r="J14" s="4"/>
      <c r="K14" s="4"/>
      <c r="L14" s="3"/>
      <c r="M14" s="3"/>
      <c r="N14" s="3"/>
      <c r="O14" s="4"/>
      <c r="P14" s="3"/>
    </row>
    <row r="15" spans="1:26" x14ac:dyDescent="0.25">
      <c r="B15">
        <v>170</v>
      </c>
      <c r="C15" s="2">
        <v>55.3</v>
      </c>
      <c r="D15" s="9">
        <f t="shared" si="6"/>
        <v>9401</v>
      </c>
      <c r="E15" s="9">
        <f>C15*C15</f>
        <v>3058.0899999999997</v>
      </c>
      <c r="F15" s="9">
        <f>B15*B15</f>
        <v>28900</v>
      </c>
    </row>
    <row r="16" spans="1:26" x14ac:dyDescent="0.25">
      <c r="B16">
        <v>190</v>
      </c>
      <c r="C16" s="2">
        <v>62</v>
      </c>
      <c r="D16" s="9">
        <f t="shared" si="6"/>
        <v>11780</v>
      </c>
      <c r="E16" s="9">
        <f>C16*C16</f>
        <v>3844</v>
      </c>
      <c r="F16" s="9">
        <f>B16*B16</f>
        <v>36100</v>
      </c>
      <c r="I16" s="19" t="s">
        <v>6</v>
      </c>
      <c r="J16" s="16">
        <v>5.0756812661797062</v>
      </c>
      <c r="K16" s="16">
        <v>3.069744675887276</v>
      </c>
      <c r="L16">
        <v>2.0535375660455348</v>
      </c>
      <c r="N16" s="14">
        <v>5.75</v>
      </c>
      <c r="O16" s="14">
        <v>3.06</v>
      </c>
      <c r="P16" s="14"/>
    </row>
    <row r="17" spans="2:16" x14ac:dyDescent="0.25">
      <c r="B17">
        <v>200</v>
      </c>
      <c r="C17" s="2">
        <v>65.3</v>
      </c>
      <c r="D17" s="9">
        <f t="shared" si="6"/>
        <v>13060</v>
      </c>
      <c r="E17" s="9">
        <f>C17*C17</f>
        <v>4264.0899999999992</v>
      </c>
      <c r="F17" s="9">
        <f>B17*B17</f>
        <v>40000</v>
      </c>
      <c r="I17" s="19" t="s">
        <v>7</v>
      </c>
      <c r="J17" s="16">
        <v>5.198441365255586E-3</v>
      </c>
      <c r="K17" s="16">
        <v>2.7999351630420919E-3</v>
      </c>
      <c r="L17">
        <v>1.8739015539876859E-3</v>
      </c>
      <c r="N17" s="14">
        <v>5.0000000000000001E-3</v>
      </c>
      <c r="O17" s="14"/>
      <c r="P17" s="14"/>
    </row>
    <row r="18" spans="2:16" x14ac:dyDescent="0.25">
      <c r="B18">
        <v>160</v>
      </c>
      <c r="C18" s="2">
        <v>52</v>
      </c>
      <c r="D18" s="9">
        <f t="shared" si="6"/>
        <v>8320</v>
      </c>
      <c r="E18" s="9">
        <f>C18*C18</f>
        <v>2704</v>
      </c>
      <c r="F18" s="9">
        <f>B18*B18</f>
        <v>25600</v>
      </c>
      <c r="N18">
        <v>6.0000000000000001E-3</v>
      </c>
    </row>
    <row r="19" spans="2:16" x14ac:dyDescent="0.25">
      <c r="B19">
        <v>120</v>
      </c>
      <c r="C19" s="2">
        <v>39.299999999999997</v>
      </c>
      <c r="D19" s="9">
        <f t="shared" si="6"/>
        <v>4716</v>
      </c>
      <c r="E19" s="9">
        <f>C19*C19</f>
        <v>1544.4899999999998</v>
      </c>
      <c r="F19" s="9">
        <f>B19*B19</f>
        <v>14400</v>
      </c>
      <c r="J19" s="14">
        <v>5.0759999999999996</v>
      </c>
      <c r="K19" s="14">
        <v>3.07</v>
      </c>
      <c r="L19" s="14">
        <v>2.0539999999999998</v>
      </c>
    </row>
    <row r="20" spans="2:16" x14ac:dyDescent="0.25">
      <c r="B20">
        <v>100</v>
      </c>
      <c r="C20" s="2">
        <v>32.700000000000003</v>
      </c>
      <c r="D20" s="9">
        <f t="shared" si="6"/>
        <v>3270.0000000000005</v>
      </c>
      <c r="E20" s="9">
        <f>C20*C20</f>
        <v>1069.2900000000002</v>
      </c>
      <c r="F20" s="9">
        <f>B20*B20</f>
        <v>10000</v>
      </c>
      <c r="J20" s="14">
        <v>5.0000000000000001E-3</v>
      </c>
      <c r="K20" s="14">
        <v>3.0000000000000001E-3</v>
      </c>
      <c r="L20" s="14">
        <v>2E-3</v>
      </c>
    </row>
    <row r="21" spans="2:16" x14ac:dyDescent="0.25">
      <c r="B21">
        <v>90</v>
      </c>
      <c r="C21" s="2">
        <v>29.3</v>
      </c>
      <c r="D21" s="9">
        <f t="shared" si="6"/>
        <v>2637</v>
      </c>
      <c r="E21" s="9">
        <f>C21*C21</f>
        <v>858.49</v>
      </c>
      <c r="F21" s="9">
        <f>B21*B21</f>
        <v>8100</v>
      </c>
      <c r="J21">
        <v>6.0000000000000001E-3</v>
      </c>
      <c r="K21" s="14">
        <v>8.0000000000000002E-3</v>
      </c>
      <c r="L21">
        <v>4.0000000000000001E-3</v>
      </c>
    </row>
    <row r="22" spans="2:16" x14ac:dyDescent="0.25">
      <c r="B22">
        <v>80</v>
      </c>
      <c r="C22" s="2">
        <v>26</v>
      </c>
      <c r="D22" s="9">
        <f t="shared" si="6"/>
        <v>2080</v>
      </c>
      <c r="E22" s="9">
        <f>C22*C22</f>
        <v>676</v>
      </c>
      <c r="F22" s="9">
        <f>B22*B22</f>
        <v>6400</v>
      </c>
      <c r="J22" s="14">
        <v>8.0000000000000002E-3</v>
      </c>
      <c r="K22" s="14">
        <v>8.0000000000000002E-3</v>
      </c>
      <c r="L22">
        <v>4.0000000000000001E-3</v>
      </c>
    </row>
    <row r="23" spans="2:16" s="5" customFormat="1" x14ac:dyDescent="0.25">
      <c r="C23" s="6"/>
      <c r="D23" s="10">
        <f>AVERAGE(D13:D22)</f>
        <v>6710.6</v>
      </c>
      <c r="E23" s="10">
        <f t="shared" ref="E23:F23" si="7">AVERAGE(E13:E22)</f>
        <v>2186.0450000000001</v>
      </c>
      <c r="F23" s="10">
        <f t="shared" si="7"/>
        <v>20600</v>
      </c>
      <c r="G23" s="5">
        <f>D23/E23</f>
        <v>3.069744675887276</v>
      </c>
      <c r="H23" s="8">
        <f>F23/E23</f>
        <v>9.4234107715074487</v>
      </c>
      <c r="I23" s="18">
        <f>SQRT(H23-G23*G23)/SQRT(10)</f>
        <v>2.7999351630420919E-3</v>
      </c>
      <c r="J23" s="14">
        <f>J19+(J19*J19/2000)</f>
        <v>5.0888828879999997</v>
      </c>
      <c r="K23" s="14">
        <f t="shared" ref="K23:L23" si="8">K19+(K19*K19/2000)</f>
        <v>3.0747124499999998</v>
      </c>
      <c r="L23" s="14">
        <f t="shared" si="8"/>
        <v>2.0561094579999999</v>
      </c>
      <c r="O23" s="6"/>
    </row>
    <row r="24" spans="2:16" x14ac:dyDescent="0.25">
      <c r="B24">
        <v>130</v>
      </c>
      <c r="C24" s="2">
        <v>63.7</v>
      </c>
      <c r="D24" s="9">
        <f t="shared" si="6"/>
        <v>8281</v>
      </c>
      <c r="E24" s="9">
        <f>C24*C24</f>
        <v>4057.6900000000005</v>
      </c>
      <c r="F24" s="9">
        <f>B24*B24</f>
        <v>16900</v>
      </c>
    </row>
    <row r="25" spans="2:16" x14ac:dyDescent="0.25">
      <c r="B25">
        <v>140</v>
      </c>
      <c r="C25" s="2">
        <v>68.099999999999994</v>
      </c>
      <c r="D25" s="9">
        <f t="shared" si="6"/>
        <v>9534</v>
      </c>
      <c r="E25" s="9">
        <f>C25*C25</f>
        <v>4637.6099999999997</v>
      </c>
      <c r="F25" s="9">
        <f>B25*B25</f>
        <v>19600</v>
      </c>
    </row>
    <row r="26" spans="2:16" x14ac:dyDescent="0.25">
      <c r="B26">
        <v>180</v>
      </c>
      <c r="C26" s="2">
        <v>87.7</v>
      </c>
      <c r="D26" s="9">
        <f t="shared" si="6"/>
        <v>15786</v>
      </c>
      <c r="E26" s="9">
        <f>C26*C26</f>
        <v>7691.2900000000009</v>
      </c>
      <c r="F26" s="9">
        <f>B26*B26</f>
        <v>32400</v>
      </c>
    </row>
    <row r="27" spans="2:16" x14ac:dyDescent="0.25">
      <c r="B27">
        <v>230</v>
      </c>
      <c r="C27" s="2">
        <v>111.9</v>
      </c>
      <c r="D27" s="9">
        <f t="shared" si="6"/>
        <v>25737</v>
      </c>
      <c r="E27" s="9">
        <f>C27*C27</f>
        <v>12521.61</v>
      </c>
      <c r="F27" s="9">
        <f>B27*B27</f>
        <v>52900</v>
      </c>
    </row>
    <row r="28" spans="2:16" x14ac:dyDescent="0.25">
      <c r="B28">
        <v>260</v>
      </c>
      <c r="C28" s="2">
        <v>126.4</v>
      </c>
      <c r="D28" s="9">
        <f t="shared" si="6"/>
        <v>32864</v>
      </c>
      <c r="E28" s="9">
        <f>C28*C28</f>
        <v>15976.960000000001</v>
      </c>
      <c r="F28" s="9">
        <f>B28*B28</f>
        <v>67600</v>
      </c>
    </row>
    <row r="29" spans="2:16" x14ac:dyDescent="0.25">
      <c r="B29">
        <v>198</v>
      </c>
      <c r="C29" s="2">
        <v>96.9</v>
      </c>
      <c r="D29" s="9">
        <f t="shared" si="6"/>
        <v>19186.2</v>
      </c>
      <c r="E29" s="9">
        <f>C29*C29</f>
        <v>9389.61</v>
      </c>
      <c r="F29" s="9">
        <f>B29*B29</f>
        <v>39204</v>
      </c>
    </row>
    <row r="30" spans="2:16" x14ac:dyDescent="0.25">
      <c r="B30">
        <v>160</v>
      </c>
      <c r="C30" s="2">
        <v>77.8</v>
      </c>
      <c r="D30" s="9">
        <f t="shared" si="6"/>
        <v>12448</v>
      </c>
      <c r="E30" s="9">
        <f>C30*C30</f>
        <v>6052.8399999999992</v>
      </c>
      <c r="F30" s="9">
        <f>B30*B30</f>
        <v>25600</v>
      </c>
    </row>
    <row r="31" spans="2:16" x14ac:dyDescent="0.25">
      <c r="B31">
        <v>120</v>
      </c>
      <c r="C31" s="2">
        <v>58.2</v>
      </c>
      <c r="D31" s="9">
        <f t="shared" si="6"/>
        <v>6984</v>
      </c>
      <c r="E31" s="9">
        <f>C31*C31</f>
        <v>3387.2400000000002</v>
      </c>
      <c r="F31" s="9">
        <f>B31*B31</f>
        <v>14400</v>
      </c>
    </row>
    <row r="32" spans="2:16" x14ac:dyDescent="0.25">
      <c r="B32">
        <v>100</v>
      </c>
      <c r="C32" s="2">
        <v>48.5</v>
      </c>
      <c r="D32" s="9">
        <f t="shared" si="6"/>
        <v>4850</v>
      </c>
      <c r="E32" s="9">
        <f>C32*C32</f>
        <v>2352.25</v>
      </c>
      <c r="F32" s="9">
        <f>B32*B32</f>
        <v>10000</v>
      </c>
    </row>
    <row r="33" spans="1:15" x14ac:dyDescent="0.25">
      <c r="B33">
        <v>60</v>
      </c>
      <c r="C33" s="2">
        <v>29.2</v>
      </c>
      <c r="D33" s="9">
        <f t="shared" si="6"/>
        <v>1752</v>
      </c>
      <c r="E33" s="9">
        <f>C33*C33</f>
        <v>852.64</v>
      </c>
      <c r="F33" s="9">
        <f>B33*B33</f>
        <v>3600</v>
      </c>
    </row>
    <row r="34" spans="1:15" s="5" customFormat="1" x14ac:dyDescent="0.25">
      <c r="C34" s="6"/>
      <c r="D34" s="13">
        <f>AVERAGE(D24:D33)</f>
        <v>13742.220000000001</v>
      </c>
      <c r="E34" s="13">
        <f t="shared" ref="E34:F34" si="9">AVERAGE(E24:E33)</f>
        <v>6691.9740000000002</v>
      </c>
      <c r="F34" s="13">
        <f t="shared" si="9"/>
        <v>28220.400000000001</v>
      </c>
      <c r="G34" s="5">
        <f>D34/E34</f>
        <v>2.0535375660455348</v>
      </c>
      <c r="H34" s="8">
        <f>F34/E34</f>
        <v>4.2170516502305597</v>
      </c>
      <c r="I34" s="18">
        <f>SQRT(H34-G34*G34)/SQRT(10)</f>
        <v>1.8739015539876859E-3</v>
      </c>
      <c r="J34" s="6"/>
      <c r="K34" s="6"/>
      <c r="O34" s="6"/>
    </row>
    <row r="41" spans="1:15" x14ac:dyDescent="0.25">
      <c r="B41" t="s">
        <v>12</v>
      </c>
      <c r="C41" s="2" t="s">
        <v>12</v>
      </c>
    </row>
    <row r="42" spans="1:15" x14ac:dyDescent="0.25">
      <c r="A42" t="s">
        <v>6</v>
      </c>
      <c r="B42" t="s">
        <v>10</v>
      </c>
      <c r="C42" s="2" t="s">
        <v>11</v>
      </c>
    </row>
    <row r="43" spans="1:15" x14ac:dyDescent="0.25">
      <c r="A43">
        <v>5.0890000000000004</v>
      </c>
      <c r="B43">
        <v>0.3</v>
      </c>
      <c r="C43" s="2">
        <v>500</v>
      </c>
      <c r="D43" s="15">
        <v>2.9999999999999997E-4</v>
      </c>
      <c r="E43" s="1">
        <v>0.5</v>
      </c>
      <c r="F43" s="20">
        <f>D43*D43</f>
        <v>8.9999999999999985E-8</v>
      </c>
      <c r="G43" s="21">
        <f>A43*3.14*F43/4/E43</f>
        <v>7.1907569999999997E-7</v>
      </c>
    </row>
    <row r="44" spans="1:15" x14ac:dyDescent="0.25">
      <c r="A44">
        <v>3.0750000000000002</v>
      </c>
      <c r="B44">
        <v>0.3</v>
      </c>
      <c r="C44" s="2">
        <v>200</v>
      </c>
      <c r="D44" s="15">
        <v>2.9999999999999997E-4</v>
      </c>
      <c r="E44" s="1">
        <v>0.3</v>
      </c>
      <c r="F44" s="20">
        <f t="shared" ref="F44:F45" si="10">D44*D44</f>
        <v>8.9999999999999985E-8</v>
      </c>
      <c r="G44" s="21">
        <f t="shared" ref="G44:G45" si="11">A44*3.14*F44/4/E44</f>
        <v>7.2416250000000001E-7</v>
      </c>
    </row>
    <row r="45" spans="1:15" x14ac:dyDescent="0.25">
      <c r="A45">
        <v>2.0590000000000002</v>
      </c>
      <c r="B45">
        <v>0.3</v>
      </c>
      <c r="C45" s="2">
        <v>300</v>
      </c>
      <c r="D45" s="15">
        <v>2.9999999999999997E-4</v>
      </c>
      <c r="E45" s="1">
        <v>0.2</v>
      </c>
      <c r="F45" s="20">
        <f t="shared" si="10"/>
        <v>8.9999999999999985E-8</v>
      </c>
      <c r="G45" s="21">
        <f t="shared" si="11"/>
        <v>7.2734174999999994E-7</v>
      </c>
    </row>
  </sheetData>
  <sortState xmlns:xlrd2="http://schemas.microsoft.com/office/spreadsheetml/2017/richdata2" ref="A2:C6">
    <sortCondition ref="B2:B6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Рудачихин</dc:creator>
  <cp:lastModifiedBy>Павел Рудачихин</cp:lastModifiedBy>
  <dcterms:created xsi:type="dcterms:W3CDTF">2025-09-10T10:05:50Z</dcterms:created>
  <dcterms:modified xsi:type="dcterms:W3CDTF">2025-09-10T20:54:45Z</dcterms:modified>
</cp:coreProperties>
</file>