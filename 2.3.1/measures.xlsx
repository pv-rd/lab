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Labs\2.3.1\"/>
    </mc:Choice>
  </mc:AlternateContent>
  <xr:revisionPtr revIDLastSave="0" documentId="13_ncr:1_{A807BCB3-EC33-44DD-840C-75D069C5A92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G3" i="1"/>
  <c r="G2" i="1"/>
  <c r="D3" i="1"/>
  <c r="D2" i="1"/>
</calcChain>
</file>

<file path=xl/sharedStrings.xml><?xml version="1.0" encoding="utf-8"?>
<sst xmlns="http://schemas.openxmlformats.org/spreadsheetml/2006/main" count="13" uniqueCount="12">
  <si>
    <t>h1</t>
  </si>
  <si>
    <t>h2</t>
  </si>
  <si>
    <t>№</t>
  </si>
  <si>
    <t>dh</t>
  </si>
  <si>
    <t>H1</t>
  </si>
  <si>
    <t>H2</t>
  </si>
  <si>
    <t>dH</t>
  </si>
  <si>
    <t>t</t>
  </si>
  <si>
    <t>проверка непрерывности</t>
  </si>
  <si>
    <t xml:space="preserve">разрыв </t>
  </si>
  <si>
    <t>P *10**-5 мм рт ст</t>
  </si>
  <si>
    <t>10-2 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</si>
</sst>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20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333340624090248E-2"/>
          <c:y val="5.0925925925925923E-2"/>
          <c:w val="0.93888887552250122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strRef>
              <c:f>Лист2!$B$1</c:f>
              <c:strCache>
                <c:ptCount val="1"/>
                <c:pt idx="0">
                  <c:v>P *10**-5 мм рт ст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Лист2!$A$17:$A$226</c:f>
              <c:numCache>
                <c:formatCode>h:mm</c:formatCode>
                <c:ptCount val="210"/>
                <c:pt idx="0">
                  <c:v>2.1527777777777781E-2</c:v>
                </c:pt>
                <c:pt idx="1">
                  <c:v>2.2222222222222223E-2</c:v>
                </c:pt>
                <c:pt idx="2">
                  <c:v>2.2916666666666669E-2</c:v>
                </c:pt>
                <c:pt idx="3">
                  <c:v>2.361111111111111E-2</c:v>
                </c:pt>
                <c:pt idx="4">
                  <c:v>2.4305555555555556E-2</c:v>
                </c:pt>
                <c:pt idx="5">
                  <c:v>2.4999999999999998E-2</c:v>
                </c:pt>
                <c:pt idx="6">
                  <c:v>2.5694444444444447E-2</c:v>
                </c:pt>
                <c:pt idx="7">
                  <c:v>2.6388888888888899E-2</c:v>
                </c:pt>
                <c:pt idx="8">
                  <c:v>2.70833333333333E-2</c:v>
                </c:pt>
                <c:pt idx="9">
                  <c:v>2.7777777777777801E-2</c:v>
                </c:pt>
                <c:pt idx="10">
                  <c:v>2.8472222222222201E-2</c:v>
                </c:pt>
                <c:pt idx="11">
                  <c:v>2.9166666666666601E-2</c:v>
                </c:pt>
                <c:pt idx="12">
                  <c:v>2.9861111111111099E-2</c:v>
                </c:pt>
                <c:pt idx="13">
                  <c:v>3.05555555555556E-2</c:v>
                </c:pt>
                <c:pt idx="14">
                  <c:v>3.125E-2</c:v>
                </c:pt>
                <c:pt idx="15">
                  <c:v>3.1944444444444497E-2</c:v>
                </c:pt>
                <c:pt idx="16">
                  <c:v>3.2638888888889002E-2</c:v>
                </c:pt>
                <c:pt idx="17">
                  <c:v>3.3333333333333499E-2</c:v>
                </c:pt>
                <c:pt idx="18">
                  <c:v>3.4027777777777997E-2</c:v>
                </c:pt>
                <c:pt idx="19">
                  <c:v>3.4722222222222501E-2</c:v>
                </c:pt>
                <c:pt idx="20">
                  <c:v>3.5416666666666999E-2</c:v>
                </c:pt>
                <c:pt idx="21">
                  <c:v>3.6111111111111503E-2</c:v>
                </c:pt>
                <c:pt idx="22">
                  <c:v>3.6805555555556001E-2</c:v>
                </c:pt>
                <c:pt idx="23">
                  <c:v>3.7500000000000498E-2</c:v>
                </c:pt>
                <c:pt idx="24">
                  <c:v>3.8194444444445003E-2</c:v>
                </c:pt>
                <c:pt idx="25">
                  <c:v>3.88888888888895E-2</c:v>
                </c:pt>
                <c:pt idx="26">
                  <c:v>3.9583333333333998E-2</c:v>
                </c:pt>
                <c:pt idx="27">
                  <c:v>4.0277777777778502E-2</c:v>
                </c:pt>
                <c:pt idx="28">
                  <c:v>4.0972222222223E-2</c:v>
                </c:pt>
                <c:pt idx="29">
                  <c:v>4.1666666666667497E-2</c:v>
                </c:pt>
                <c:pt idx="30">
                  <c:v>4.2361111111112001E-2</c:v>
                </c:pt>
                <c:pt idx="31">
                  <c:v>4.3055555555556499E-2</c:v>
                </c:pt>
                <c:pt idx="32">
                  <c:v>4.3750000000001003E-2</c:v>
                </c:pt>
                <c:pt idx="33">
                  <c:v>4.4444444444445501E-2</c:v>
                </c:pt>
                <c:pt idx="34">
                  <c:v>4.5138888888889901E-2</c:v>
                </c:pt>
                <c:pt idx="35">
                  <c:v>4.5833333333334399E-2</c:v>
                </c:pt>
                <c:pt idx="36">
                  <c:v>4.6527777777778903E-2</c:v>
                </c:pt>
                <c:pt idx="37">
                  <c:v>4.7222222222223401E-2</c:v>
                </c:pt>
                <c:pt idx="38">
                  <c:v>4.7916666666667898E-2</c:v>
                </c:pt>
                <c:pt idx="39">
                  <c:v>4.8611111111112403E-2</c:v>
                </c:pt>
                <c:pt idx="40">
                  <c:v>4.93055555555569E-2</c:v>
                </c:pt>
                <c:pt idx="41">
                  <c:v>5.0000000000001397E-2</c:v>
                </c:pt>
                <c:pt idx="42">
                  <c:v>5.0694444444445902E-2</c:v>
                </c:pt>
                <c:pt idx="43">
                  <c:v>5.1388888888890399E-2</c:v>
                </c:pt>
                <c:pt idx="44">
                  <c:v>5.2083333333334897E-2</c:v>
                </c:pt>
                <c:pt idx="45">
                  <c:v>5.2777777777779401E-2</c:v>
                </c:pt>
                <c:pt idx="46">
                  <c:v>5.3472222222223899E-2</c:v>
                </c:pt>
                <c:pt idx="47">
                  <c:v>5.4166666666668403E-2</c:v>
                </c:pt>
                <c:pt idx="48">
                  <c:v>5.4861111111112901E-2</c:v>
                </c:pt>
                <c:pt idx="49">
                  <c:v>5.5555555555557398E-2</c:v>
                </c:pt>
                <c:pt idx="50">
                  <c:v>5.6250000000001903E-2</c:v>
                </c:pt>
                <c:pt idx="51">
                  <c:v>5.69444444444464E-2</c:v>
                </c:pt>
                <c:pt idx="52">
                  <c:v>5.7638888888890898E-2</c:v>
                </c:pt>
                <c:pt idx="53">
                  <c:v>5.8333333333335402E-2</c:v>
                </c:pt>
                <c:pt idx="54">
                  <c:v>5.9027777777779802E-2</c:v>
                </c:pt>
                <c:pt idx="55">
                  <c:v>5.97222222222243E-2</c:v>
                </c:pt>
                <c:pt idx="56">
                  <c:v>6.0416666666668797E-2</c:v>
                </c:pt>
                <c:pt idx="57">
                  <c:v>6.1111111111113302E-2</c:v>
                </c:pt>
                <c:pt idx="58">
                  <c:v>6.1805555555557799E-2</c:v>
                </c:pt>
                <c:pt idx="59">
                  <c:v>6.2500000000002304E-2</c:v>
                </c:pt>
                <c:pt idx="60">
                  <c:v>6.3194444444446801E-2</c:v>
                </c:pt>
                <c:pt idx="61">
                  <c:v>6.3888888888891299E-2</c:v>
                </c:pt>
                <c:pt idx="62">
                  <c:v>6.4583333333335796E-2</c:v>
                </c:pt>
                <c:pt idx="63">
                  <c:v>6.5277777777780294E-2</c:v>
                </c:pt>
                <c:pt idx="64">
                  <c:v>6.5972222222224805E-2</c:v>
                </c:pt>
                <c:pt idx="65">
                  <c:v>6.6666666666669303E-2</c:v>
                </c:pt>
                <c:pt idx="66">
                  <c:v>6.73611111111138E-2</c:v>
                </c:pt>
                <c:pt idx="67">
                  <c:v>6.8055555555558297E-2</c:v>
                </c:pt>
                <c:pt idx="68">
                  <c:v>6.8750000000002795E-2</c:v>
                </c:pt>
                <c:pt idx="69">
                  <c:v>6.9444444444447306E-2</c:v>
                </c:pt>
                <c:pt idx="70">
                  <c:v>7.0138888888891804E-2</c:v>
                </c:pt>
                <c:pt idx="71">
                  <c:v>7.0833333333336301E-2</c:v>
                </c:pt>
                <c:pt idx="72">
                  <c:v>7.1527777777780799E-2</c:v>
                </c:pt>
                <c:pt idx="73">
                  <c:v>7.2222222222225296E-2</c:v>
                </c:pt>
                <c:pt idx="74">
                  <c:v>7.2916666666669794E-2</c:v>
                </c:pt>
                <c:pt idx="75">
                  <c:v>7.3611111111114305E-2</c:v>
                </c:pt>
                <c:pt idx="76">
                  <c:v>7.4305555555558803E-2</c:v>
                </c:pt>
                <c:pt idx="77">
                  <c:v>7.50000000000033E-2</c:v>
                </c:pt>
                <c:pt idx="78">
                  <c:v>7.5694444444447798E-2</c:v>
                </c:pt>
                <c:pt idx="79">
                  <c:v>7.6388888888892295E-2</c:v>
                </c:pt>
                <c:pt idx="80">
                  <c:v>7.7083333333336806E-2</c:v>
                </c:pt>
                <c:pt idx="81">
                  <c:v>7.7777777777781304E-2</c:v>
                </c:pt>
                <c:pt idx="82">
                  <c:v>7.8472222222225801E-2</c:v>
                </c:pt>
                <c:pt idx="83">
                  <c:v>7.9166666666670299E-2</c:v>
                </c:pt>
                <c:pt idx="84">
                  <c:v>7.9861111111114796E-2</c:v>
                </c:pt>
                <c:pt idx="85">
                  <c:v>8.0555555555559294E-2</c:v>
                </c:pt>
                <c:pt idx="86">
                  <c:v>8.1250000000003805E-2</c:v>
                </c:pt>
                <c:pt idx="87">
                  <c:v>8.1944444444448303E-2</c:v>
                </c:pt>
                <c:pt idx="88">
                  <c:v>8.26388888888928E-2</c:v>
                </c:pt>
                <c:pt idx="89">
                  <c:v>8.3333333333337298E-2</c:v>
                </c:pt>
                <c:pt idx="90">
                  <c:v>8.4027777777781795E-2</c:v>
                </c:pt>
                <c:pt idx="91">
                  <c:v>9.0972222222222218E-2</c:v>
                </c:pt>
                <c:pt idx="92">
                  <c:v>0.15138888888888888</c:v>
                </c:pt>
                <c:pt idx="93">
                  <c:v>0.15416666666666667</c:v>
                </c:pt>
                <c:pt idx="94">
                  <c:v>0.15486111111111112</c:v>
                </c:pt>
                <c:pt idx="95">
                  <c:v>0.155555555555556</c:v>
                </c:pt>
                <c:pt idx="96">
                  <c:v>0.15625</c:v>
                </c:pt>
                <c:pt idx="97">
                  <c:v>0.156944444444444</c:v>
                </c:pt>
                <c:pt idx="98">
                  <c:v>0.15763888888888899</c:v>
                </c:pt>
                <c:pt idx="99">
                  <c:v>0.15833333333333299</c:v>
                </c:pt>
                <c:pt idx="100">
                  <c:v>0.15902777777777799</c:v>
                </c:pt>
                <c:pt idx="101">
                  <c:v>0.15972222222222199</c:v>
                </c:pt>
                <c:pt idx="102">
                  <c:v>0.16041666666666668</c:v>
                </c:pt>
                <c:pt idx="103">
                  <c:v>0.16111111111111112</c:v>
                </c:pt>
                <c:pt idx="104">
                  <c:v>0.16180555555555556</c:v>
                </c:pt>
                <c:pt idx="105">
                  <c:v>0.16250000000000001</c:v>
                </c:pt>
                <c:pt idx="106">
                  <c:v>0.16319444444444445</c:v>
                </c:pt>
                <c:pt idx="107">
                  <c:v>0.16388888888888889</c:v>
                </c:pt>
                <c:pt idx="108">
                  <c:v>0.164583333333333</c:v>
                </c:pt>
                <c:pt idx="109">
                  <c:v>0.165277777777778</c:v>
                </c:pt>
                <c:pt idx="110">
                  <c:v>0.16597222222222199</c:v>
                </c:pt>
                <c:pt idx="111">
                  <c:v>0.16666666666666699</c:v>
                </c:pt>
                <c:pt idx="112">
                  <c:v>0.16736111111111099</c:v>
                </c:pt>
                <c:pt idx="113">
                  <c:v>0.16805555555555601</c:v>
                </c:pt>
                <c:pt idx="114">
                  <c:v>0.16875000000000001</c:v>
                </c:pt>
                <c:pt idx="115">
                  <c:v>0.16944444444444401</c:v>
                </c:pt>
                <c:pt idx="116">
                  <c:v>0.17013888888888901</c:v>
                </c:pt>
                <c:pt idx="117">
                  <c:v>0.170833333333333</c:v>
                </c:pt>
                <c:pt idx="118">
                  <c:v>0.171527777777778</c:v>
                </c:pt>
                <c:pt idx="119">
                  <c:v>0.172222222222222</c:v>
                </c:pt>
                <c:pt idx="120">
                  <c:v>0.172916666666667</c:v>
                </c:pt>
                <c:pt idx="121">
                  <c:v>0.17361111111111099</c:v>
                </c:pt>
                <c:pt idx="122">
                  <c:v>0.17430555555555599</c:v>
                </c:pt>
                <c:pt idx="123">
                  <c:v>0.17499999999999999</c:v>
                </c:pt>
                <c:pt idx="124">
                  <c:v>0.17569444444444399</c:v>
                </c:pt>
                <c:pt idx="125">
                  <c:v>0.17638888888888801</c:v>
                </c:pt>
                <c:pt idx="126">
                  <c:v>0.17708333333333201</c:v>
                </c:pt>
                <c:pt idx="127">
                  <c:v>0.17777777777777601</c:v>
                </c:pt>
                <c:pt idx="128">
                  <c:v>0.17847222222222001</c:v>
                </c:pt>
                <c:pt idx="129">
                  <c:v>0.179166666666664</c:v>
                </c:pt>
                <c:pt idx="130">
                  <c:v>0.179861111111108</c:v>
                </c:pt>
                <c:pt idx="131">
                  <c:v>0.180555555555552</c:v>
                </c:pt>
                <c:pt idx="132">
                  <c:v>0.181249999999996</c:v>
                </c:pt>
                <c:pt idx="133">
                  <c:v>0.18194444444444</c:v>
                </c:pt>
                <c:pt idx="134">
                  <c:v>0.18263888888888399</c:v>
                </c:pt>
                <c:pt idx="135">
                  <c:v>0.18333333333332799</c:v>
                </c:pt>
                <c:pt idx="136">
                  <c:v>0.18402777777777199</c:v>
                </c:pt>
                <c:pt idx="137">
                  <c:v>0.18472222222221599</c:v>
                </c:pt>
                <c:pt idx="138">
                  <c:v>0.18541666666666001</c:v>
                </c:pt>
                <c:pt idx="139">
                  <c:v>0.18611111111110401</c:v>
                </c:pt>
                <c:pt idx="140">
                  <c:v>0.18680555555554801</c:v>
                </c:pt>
                <c:pt idx="141">
                  <c:v>0.18749999999999201</c:v>
                </c:pt>
                <c:pt idx="142">
                  <c:v>0.18819444444444444</c:v>
                </c:pt>
                <c:pt idx="143">
                  <c:v>0.18888888888888</c:v>
                </c:pt>
                <c:pt idx="144">
                  <c:v>0.189583333333324</c:v>
                </c:pt>
                <c:pt idx="145">
                  <c:v>0.190277777777768</c:v>
                </c:pt>
                <c:pt idx="146">
                  <c:v>0.190972222222212</c:v>
                </c:pt>
                <c:pt idx="147">
                  <c:v>0.19166666666665599</c:v>
                </c:pt>
                <c:pt idx="148">
                  <c:v>0.19236111111109999</c:v>
                </c:pt>
                <c:pt idx="149">
                  <c:v>0.19305555555554399</c:v>
                </c:pt>
                <c:pt idx="150">
                  <c:v>0.19374999999998799</c:v>
                </c:pt>
                <c:pt idx="151">
                  <c:v>0.19444444444443201</c:v>
                </c:pt>
                <c:pt idx="152">
                  <c:v>0.19513888888887601</c:v>
                </c:pt>
                <c:pt idx="153">
                  <c:v>0.19583333333332001</c:v>
                </c:pt>
                <c:pt idx="154">
                  <c:v>0.19652777777776401</c:v>
                </c:pt>
                <c:pt idx="155">
                  <c:v>0.197222222222208</c:v>
                </c:pt>
                <c:pt idx="156">
                  <c:v>0.197916666666652</c:v>
                </c:pt>
                <c:pt idx="157">
                  <c:v>0.198611111111096</c:v>
                </c:pt>
                <c:pt idx="158">
                  <c:v>0.19930555555554</c:v>
                </c:pt>
                <c:pt idx="159">
                  <c:v>0.199999999999984</c:v>
                </c:pt>
                <c:pt idx="160">
                  <c:v>0.20069444444442799</c:v>
                </c:pt>
                <c:pt idx="161">
                  <c:v>0.20138888888887199</c:v>
                </c:pt>
                <c:pt idx="162">
                  <c:v>0.20208333333331599</c:v>
                </c:pt>
                <c:pt idx="163">
                  <c:v>0.20277777777775999</c:v>
                </c:pt>
                <c:pt idx="164">
                  <c:v>0.20347222222220401</c:v>
                </c:pt>
                <c:pt idx="165">
                  <c:v>0.20416666666664801</c:v>
                </c:pt>
                <c:pt idx="166">
                  <c:v>0.20486111111109201</c:v>
                </c:pt>
                <c:pt idx="167">
                  <c:v>0.20555555555553601</c:v>
                </c:pt>
                <c:pt idx="168">
                  <c:v>0.20624999999998</c:v>
                </c:pt>
                <c:pt idx="169">
                  <c:v>0.206944444444424</c:v>
                </c:pt>
                <c:pt idx="170">
                  <c:v>0.207638888888868</c:v>
                </c:pt>
                <c:pt idx="171">
                  <c:v>0.208333333333312</c:v>
                </c:pt>
                <c:pt idx="172">
                  <c:v>0.209027777777756</c:v>
                </c:pt>
                <c:pt idx="173">
                  <c:v>0.20972222222219999</c:v>
                </c:pt>
                <c:pt idx="174">
                  <c:v>0.21041666666664399</c:v>
                </c:pt>
                <c:pt idx="175">
                  <c:v>0.21111111111108799</c:v>
                </c:pt>
                <c:pt idx="176">
                  <c:v>0.21180555555553199</c:v>
                </c:pt>
                <c:pt idx="177">
                  <c:v>0.21249999999997601</c:v>
                </c:pt>
                <c:pt idx="178">
                  <c:v>0.21319444444442001</c:v>
                </c:pt>
                <c:pt idx="179">
                  <c:v>0.21388888888886401</c:v>
                </c:pt>
                <c:pt idx="180">
                  <c:v>0.21458333333330801</c:v>
                </c:pt>
                <c:pt idx="181">
                  <c:v>0.21527777777775201</c:v>
                </c:pt>
                <c:pt idx="182">
                  <c:v>0.215972222222196</c:v>
                </c:pt>
                <c:pt idx="183">
                  <c:v>0.21666666666664</c:v>
                </c:pt>
                <c:pt idx="184">
                  <c:v>0.217361111111084</c:v>
                </c:pt>
                <c:pt idx="185">
                  <c:v>0.218055555555528</c:v>
                </c:pt>
                <c:pt idx="186">
                  <c:v>0.21874999999997199</c:v>
                </c:pt>
                <c:pt idx="187">
                  <c:v>0.21944444444441599</c:v>
                </c:pt>
                <c:pt idx="188">
                  <c:v>0.22013888888885999</c:v>
                </c:pt>
                <c:pt idx="189">
                  <c:v>0.22083333333330399</c:v>
                </c:pt>
                <c:pt idx="190">
                  <c:v>0.22152777777774799</c:v>
                </c:pt>
                <c:pt idx="191">
                  <c:v>0.22222222222219201</c:v>
                </c:pt>
                <c:pt idx="192">
                  <c:v>0.22291666666663601</c:v>
                </c:pt>
                <c:pt idx="193">
                  <c:v>0.22361111111108001</c:v>
                </c:pt>
                <c:pt idx="194">
                  <c:v>0.22430555555552401</c:v>
                </c:pt>
                <c:pt idx="195">
                  <c:v>0.224999999999968</c:v>
                </c:pt>
                <c:pt idx="196">
                  <c:v>0.225694444444412</c:v>
                </c:pt>
                <c:pt idx="197">
                  <c:v>0.226388888888856</c:v>
                </c:pt>
                <c:pt idx="198">
                  <c:v>0.2270833333333</c:v>
                </c:pt>
                <c:pt idx="199">
                  <c:v>0.22777777777774399</c:v>
                </c:pt>
                <c:pt idx="200">
                  <c:v>0.22847222222218799</c:v>
                </c:pt>
                <c:pt idx="201">
                  <c:v>0.22916666666663199</c:v>
                </c:pt>
                <c:pt idx="202">
                  <c:v>0.22986111111107599</c:v>
                </c:pt>
                <c:pt idx="203">
                  <c:v>0.23055555555551999</c:v>
                </c:pt>
                <c:pt idx="204">
                  <c:v>0.23124999999996401</c:v>
                </c:pt>
                <c:pt idx="205">
                  <c:v>0.23194444444440801</c:v>
                </c:pt>
                <c:pt idx="206">
                  <c:v>0.23263888888885201</c:v>
                </c:pt>
                <c:pt idx="207">
                  <c:v>0.23333333333329601</c:v>
                </c:pt>
                <c:pt idx="208">
                  <c:v>0.23402777777774</c:v>
                </c:pt>
                <c:pt idx="209">
                  <c:v>0.23888888888884799</c:v>
                </c:pt>
              </c:numCache>
            </c:numRef>
          </c:cat>
          <c:val>
            <c:numRef>
              <c:f>Лист2!$B$17:$B$226</c:f>
              <c:numCache>
                <c:formatCode>General</c:formatCode>
                <c:ptCount val="2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16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36</c:v>
                </c:pt>
                <c:pt idx="18">
                  <c:v>37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51</c:v>
                </c:pt>
                <c:pt idx="40">
                  <c:v>52</c:v>
                </c:pt>
                <c:pt idx="41">
                  <c:v>53</c:v>
                </c:pt>
                <c:pt idx="42">
                  <c:v>54</c:v>
                </c:pt>
                <c:pt idx="43">
                  <c:v>54</c:v>
                </c:pt>
                <c:pt idx="44">
                  <c:v>55</c:v>
                </c:pt>
                <c:pt idx="45">
                  <c:v>56</c:v>
                </c:pt>
                <c:pt idx="46">
                  <c:v>57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59</c:v>
                </c:pt>
                <c:pt idx="51">
                  <c:v>60</c:v>
                </c:pt>
                <c:pt idx="52">
                  <c:v>61</c:v>
                </c:pt>
                <c:pt idx="53">
                  <c:v>61</c:v>
                </c:pt>
                <c:pt idx="54">
                  <c:v>62</c:v>
                </c:pt>
                <c:pt idx="55">
                  <c:v>63</c:v>
                </c:pt>
                <c:pt idx="56">
                  <c:v>64</c:v>
                </c:pt>
                <c:pt idx="57">
                  <c:v>64</c:v>
                </c:pt>
                <c:pt idx="58">
                  <c:v>65</c:v>
                </c:pt>
                <c:pt idx="59">
                  <c:v>65</c:v>
                </c:pt>
                <c:pt idx="60">
                  <c:v>66</c:v>
                </c:pt>
                <c:pt idx="61">
                  <c:v>67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70</c:v>
                </c:pt>
                <c:pt idx="67">
                  <c:v>71</c:v>
                </c:pt>
                <c:pt idx="68">
                  <c:v>72</c:v>
                </c:pt>
                <c:pt idx="69">
                  <c:v>72</c:v>
                </c:pt>
                <c:pt idx="70">
                  <c:v>71</c:v>
                </c:pt>
                <c:pt idx="71">
                  <c:v>67</c:v>
                </c:pt>
                <c:pt idx="72">
                  <c:v>63</c:v>
                </c:pt>
                <c:pt idx="73">
                  <c:v>57</c:v>
                </c:pt>
                <c:pt idx="74">
                  <c:v>49</c:v>
                </c:pt>
                <c:pt idx="75">
                  <c:v>41</c:v>
                </c:pt>
                <c:pt idx="76">
                  <c:v>34</c:v>
                </c:pt>
                <c:pt idx="77">
                  <c:v>29</c:v>
                </c:pt>
                <c:pt idx="78">
                  <c:v>26</c:v>
                </c:pt>
                <c:pt idx="79">
                  <c:v>23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13</c:v>
                </c:pt>
                <c:pt idx="88">
                  <c:v>12</c:v>
                </c:pt>
                <c:pt idx="89">
                  <c:v>12</c:v>
                </c:pt>
                <c:pt idx="90">
                  <c:v>11</c:v>
                </c:pt>
                <c:pt idx="91">
                  <c:v>10</c:v>
                </c:pt>
                <c:pt idx="92">
                  <c:v>11</c:v>
                </c:pt>
                <c:pt idx="93">
                  <c:v>12</c:v>
                </c:pt>
                <c:pt idx="94">
                  <c:v>12</c:v>
                </c:pt>
                <c:pt idx="95">
                  <c:v>12</c:v>
                </c:pt>
                <c:pt idx="96">
                  <c:v>12</c:v>
                </c:pt>
                <c:pt idx="97">
                  <c:v>12</c:v>
                </c:pt>
                <c:pt idx="98">
                  <c:v>12</c:v>
                </c:pt>
                <c:pt idx="99">
                  <c:v>12</c:v>
                </c:pt>
                <c:pt idx="100">
                  <c:v>12</c:v>
                </c:pt>
                <c:pt idx="101">
                  <c:v>12</c:v>
                </c:pt>
                <c:pt idx="102">
                  <c:v>13</c:v>
                </c:pt>
                <c:pt idx="103">
                  <c:v>14</c:v>
                </c:pt>
                <c:pt idx="104">
                  <c:v>15</c:v>
                </c:pt>
                <c:pt idx="105">
                  <c:v>15</c:v>
                </c:pt>
                <c:pt idx="106">
                  <c:v>16</c:v>
                </c:pt>
                <c:pt idx="107">
                  <c:v>17</c:v>
                </c:pt>
                <c:pt idx="108">
                  <c:v>18</c:v>
                </c:pt>
                <c:pt idx="109">
                  <c:v>18</c:v>
                </c:pt>
                <c:pt idx="110">
                  <c:v>19</c:v>
                </c:pt>
                <c:pt idx="111">
                  <c:v>20</c:v>
                </c:pt>
                <c:pt idx="112">
                  <c:v>21</c:v>
                </c:pt>
                <c:pt idx="113">
                  <c:v>21</c:v>
                </c:pt>
                <c:pt idx="114">
                  <c:v>22</c:v>
                </c:pt>
                <c:pt idx="115">
                  <c:v>23</c:v>
                </c:pt>
                <c:pt idx="116">
                  <c:v>23</c:v>
                </c:pt>
                <c:pt idx="117">
                  <c:v>24</c:v>
                </c:pt>
                <c:pt idx="118">
                  <c:v>25</c:v>
                </c:pt>
                <c:pt idx="119">
                  <c:v>26</c:v>
                </c:pt>
                <c:pt idx="120">
                  <c:v>26</c:v>
                </c:pt>
                <c:pt idx="121">
                  <c:v>27</c:v>
                </c:pt>
                <c:pt idx="122">
                  <c:v>27</c:v>
                </c:pt>
                <c:pt idx="123">
                  <c:v>28</c:v>
                </c:pt>
                <c:pt idx="124">
                  <c:v>29</c:v>
                </c:pt>
                <c:pt idx="125">
                  <c:v>29</c:v>
                </c:pt>
                <c:pt idx="126">
                  <c:v>30</c:v>
                </c:pt>
                <c:pt idx="127">
                  <c:v>31</c:v>
                </c:pt>
                <c:pt idx="128">
                  <c:v>32</c:v>
                </c:pt>
                <c:pt idx="129">
                  <c:v>33</c:v>
                </c:pt>
                <c:pt idx="130">
                  <c:v>33</c:v>
                </c:pt>
                <c:pt idx="131">
                  <c:v>34</c:v>
                </c:pt>
                <c:pt idx="132">
                  <c:v>35</c:v>
                </c:pt>
                <c:pt idx="133">
                  <c:v>35</c:v>
                </c:pt>
                <c:pt idx="134">
                  <c:v>36</c:v>
                </c:pt>
                <c:pt idx="135">
                  <c:v>37</c:v>
                </c:pt>
                <c:pt idx="136">
                  <c:v>37</c:v>
                </c:pt>
                <c:pt idx="137">
                  <c:v>38</c:v>
                </c:pt>
                <c:pt idx="138">
                  <c:v>39</c:v>
                </c:pt>
                <c:pt idx="139">
                  <c:v>40</c:v>
                </c:pt>
                <c:pt idx="140">
                  <c:v>40</c:v>
                </c:pt>
                <c:pt idx="141">
                  <c:v>41</c:v>
                </c:pt>
                <c:pt idx="142">
                  <c:v>42</c:v>
                </c:pt>
                <c:pt idx="143">
                  <c:v>42</c:v>
                </c:pt>
                <c:pt idx="144">
                  <c:v>43</c:v>
                </c:pt>
                <c:pt idx="145">
                  <c:v>44</c:v>
                </c:pt>
                <c:pt idx="146">
                  <c:v>45</c:v>
                </c:pt>
                <c:pt idx="147">
                  <c:v>45</c:v>
                </c:pt>
                <c:pt idx="148">
                  <c:v>46</c:v>
                </c:pt>
                <c:pt idx="149">
                  <c:v>47</c:v>
                </c:pt>
                <c:pt idx="150">
                  <c:v>47</c:v>
                </c:pt>
                <c:pt idx="151">
                  <c:v>48</c:v>
                </c:pt>
                <c:pt idx="152">
                  <c:v>49</c:v>
                </c:pt>
                <c:pt idx="153">
                  <c:v>49</c:v>
                </c:pt>
                <c:pt idx="154">
                  <c:v>50</c:v>
                </c:pt>
                <c:pt idx="155">
                  <c:v>50</c:v>
                </c:pt>
                <c:pt idx="156">
                  <c:v>51</c:v>
                </c:pt>
                <c:pt idx="157">
                  <c:v>52</c:v>
                </c:pt>
                <c:pt idx="158">
                  <c:v>53</c:v>
                </c:pt>
                <c:pt idx="159">
                  <c:v>54</c:v>
                </c:pt>
                <c:pt idx="160">
                  <c:v>54</c:v>
                </c:pt>
                <c:pt idx="161">
                  <c:v>55</c:v>
                </c:pt>
                <c:pt idx="162">
                  <c:v>55</c:v>
                </c:pt>
                <c:pt idx="163">
                  <c:v>56</c:v>
                </c:pt>
                <c:pt idx="164">
                  <c:v>57</c:v>
                </c:pt>
                <c:pt idx="165">
                  <c:v>57</c:v>
                </c:pt>
                <c:pt idx="166">
                  <c:v>58</c:v>
                </c:pt>
                <c:pt idx="167">
                  <c:v>59</c:v>
                </c:pt>
                <c:pt idx="168">
                  <c:v>60</c:v>
                </c:pt>
                <c:pt idx="169">
                  <c:v>60</c:v>
                </c:pt>
                <c:pt idx="170">
                  <c:v>61</c:v>
                </c:pt>
                <c:pt idx="171">
                  <c:v>62</c:v>
                </c:pt>
                <c:pt idx="172">
                  <c:v>62</c:v>
                </c:pt>
                <c:pt idx="173">
                  <c:v>63</c:v>
                </c:pt>
                <c:pt idx="174">
                  <c:v>63</c:v>
                </c:pt>
                <c:pt idx="175">
                  <c:v>64</c:v>
                </c:pt>
                <c:pt idx="176">
                  <c:v>65</c:v>
                </c:pt>
                <c:pt idx="177">
                  <c:v>65</c:v>
                </c:pt>
                <c:pt idx="178">
                  <c:v>66</c:v>
                </c:pt>
                <c:pt idx="179">
                  <c:v>67</c:v>
                </c:pt>
                <c:pt idx="180">
                  <c:v>68</c:v>
                </c:pt>
                <c:pt idx="181">
                  <c:v>68</c:v>
                </c:pt>
                <c:pt idx="182">
                  <c:v>69</c:v>
                </c:pt>
                <c:pt idx="183">
                  <c:v>69</c:v>
                </c:pt>
                <c:pt idx="184">
                  <c:v>70</c:v>
                </c:pt>
                <c:pt idx="185">
                  <c:v>71</c:v>
                </c:pt>
                <c:pt idx="186">
                  <c:v>71</c:v>
                </c:pt>
                <c:pt idx="187">
                  <c:v>71</c:v>
                </c:pt>
                <c:pt idx="188">
                  <c:v>67</c:v>
                </c:pt>
                <c:pt idx="189">
                  <c:v>65</c:v>
                </c:pt>
                <c:pt idx="190">
                  <c:v>58</c:v>
                </c:pt>
                <c:pt idx="191">
                  <c:v>54</c:v>
                </c:pt>
                <c:pt idx="192">
                  <c:v>41</c:v>
                </c:pt>
                <c:pt idx="193">
                  <c:v>37</c:v>
                </c:pt>
                <c:pt idx="194">
                  <c:v>31</c:v>
                </c:pt>
                <c:pt idx="195">
                  <c:v>29</c:v>
                </c:pt>
                <c:pt idx="196">
                  <c:v>25</c:v>
                </c:pt>
                <c:pt idx="197">
                  <c:v>23</c:v>
                </c:pt>
                <c:pt idx="198">
                  <c:v>20</c:v>
                </c:pt>
                <c:pt idx="199">
                  <c:v>18</c:v>
                </c:pt>
                <c:pt idx="200">
                  <c:v>17</c:v>
                </c:pt>
                <c:pt idx="201">
                  <c:v>16</c:v>
                </c:pt>
                <c:pt idx="202">
                  <c:v>15</c:v>
                </c:pt>
                <c:pt idx="203">
                  <c:v>14</c:v>
                </c:pt>
                <c:pt idx="204">
                  <c:v>14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12</c:v>
                </c:pt>
                <c:pt idx="20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7E-4DC1-A56D-B68F94A3C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062848"/>
        <c:axId val="500061768"/>
      </c:lineChart>
      <c:catAx>
        <c:axId val="50006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</a:t>
                </a:r>
                <a:r>
                  <a:rPr lang="en-US" baseline="0"/>
                  <a:t> c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4573989335719177"/>
              <c:y val="0.860567399664531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0061768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500061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006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430697</xdr:colOff>
      <xdr:row>2</xdr:row>
      <xdr:rowOff>160683</xdr:rowOff>
    </xdr:from>
    <xdr:to>
      <xdr:col>15</xdr:col>
      <xdr:colOff>99392</xdr:colOff>
      <xdr:row>18</xdr:row>
      <xdr:rowOff>175940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6A24CFC-C019-5248-5DA7-4C4DCD74C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A7" sqref="A7"/>
    </sheetView>
  </sheetViews>
  <sheetFormatPr defaultRowHeight="15" x14ac:dyDescent="0.25"/>
  <sheetData>
    <row r="1" spans="1:7" x14ac:dyDescent="0.25">
      <c r="A1" s="1" t="s">
        <v>2</v>
      </c>
      <c r="B1" s="1" t="s">
        <v>4</v>
      </c>
      <c r="C1" s="1" t="s">
        <v>5</v>
      </c>
      <c r="D1" s="1" t="s">
        <v>6</v>
      </c>
      <c r="E1" s="1" t="s">
        <v>0</v>
      </c>
      <c r="F1" s="1" t="s">
        <v>1</v>
      </c>
      <c r="G1" s="1" t="s">
        <v>3</v>
      </c>
    </row>
    <row r="2" spans="1:7" x14ac:dyDescent="0.25">
      <c r="A2" s="1">
        <v>1</v>
      </c>
      <c r="B2" s="1">
        <v>38.299999999999997</v>
      </c>
      <c r="C2" s="1">
        <v>11.2</v>
      </c>
      <c r="D2" s="1">
        <f>B2-C2</f>
        <v>27.099999999999998</v>
      </c>
      <c r="E2" s="1">
        <v>33.9</v>
      </c>
      <c r="F2" s="1">
        <v>16.399999999999999</v>
      </c>
      <c r="G2" s="1">
        <f>E2-F2</f>
        <v>17.5</v>
      </c>
    </row>
    <row r="3" spans="1:7" x14ac:dyDescent="0.25">
      <c r="A3" s="1">
        <v>2</v>
      </c>
      <c r="B3" s="1">
        <v>38.700000000000003</v>
      </c>
      <c r="C3" s="1">
        <v>11.6</v>
      </c>
      <c r="D3" s="1">
        <f>B3-C3</f>
        <v>27.1</v>
      </c>
      <c r="E3" s="1">
        <v>34.1</v>
      </c>
      <c r="F3" s="1">
        <v>16.600000000000001</v>
      </c>
      <c r="G3" s="1">
        <f>E3-F3</f>
        <v>17.5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3D5CF-FCD6-4ECF-8392-ABCD0310FAD7}">
  <dimension ref="A1:E274"/>
  <sheetViews>
    <sheetView tabSelected="1" zoomScaleNormal="100" workbookViewId="0">
      <selection activeCell="G18" sqref="G18"/>
    </sheetView>
  </sheetViews>
  <sheetFormatPr defaultRowHeight="15" x14ac:dyDescent="0.25"/>
  <cols>
    <col min="4" max="4" width="18" customWidth="1"/>
  </cols>
  <sheetData>
    <row r="1" spans="1:5" x14ac:dyDescent="0.25">
      <c r="A1" t="s">
        <v>7</v>
      </c>
      <c r="B1" t="s">
        <v>10</v>
      </c>
      <c r="C1" t="s">
        <v>8</v>
      </c>
      <c r="D1" t="s">
        <v>11</v>
      </c>
    </row>
    <row r="2" spans="1:5" x14ac:dyDescent="0.25">
      <c r="A2" s="2">
        <v>1.1111111111111112E-2</v>
      </c>
      <c r="B2">
        <v>9.3000000000000007</v>
      </c>
      <c r="C2" s="2">
        <v>1.1111111111111112E-2</v>
      </c>
      <c r="D2">
        <f>B2*133.3223684 * 0.00001</f>
        <v>1.2398980261200001E-2</v>
      </c>
      <c r="E2">
        <f>LOG(D2, EXP(1))</f>
        <v>-4.3901410467527935</v>
      </c>
    </row>
    <row r="3" spans="1:5" x14ac:dyDescent="0.25">
      <c r="A3" s="2">
        <v>1.1805555555555555E-2</v>
      </c>
      <c r="B3">
        <v>9.4</v>
      </c>
      <c r="C3" s="2">
        <v>1.1805555555555555E-2</v>
      </c>
      <c r="D3">
        <f t="shared" ref="D3:D66" si="0">B3*133.3223684 * 0.001</f>
        <v>1.2532302629599998</v>
      </c>
      <c r="E3">
        <f t="shared" ref="E3:E66" si="1">LOG(D3*0.01, EXP(1))</f>
        <v>-4.379445757636045</v>
      </c>
    </row>
    <row r="4" spans="1:5" x14ac:dyDescent="0.25">
      <c r="A4" s="2">
        <v>1.2499999999999999E-2</v>
      </c>
      <c r="B4">
        <v>9.5</v>
      </c>
      <c r="C4" s="2">
        <v>1.2500000000000001E-2</v>
      </c>
      <c r="D4">
        <f t="shared" si="0"/>
        <v>1.2665624997999998</v>
      </c>
      <c r="E4">
        <f t="shared" si="1"/>
        <v>-4.3688636483055081</v>
      </c>
    </row>
    <row r="5" spans="1:5" x14ac:dyDescent="0.25">
      <c r="A5" s="2">
        <v>1.3194444444444444E-2</v>
      </c>
      <c r="B5">
        <v>9.6</v>
      </c>
      <c r="C5" s="2">
        <v>1.3194444444444399E-2</v>
      </c>
      <c r="D5">
        <f t="shared" si="0"/>
        <v>1.2798947366399998</v>
      </c>
      <c r="E5">
        <f t="shared" si="1"/>
        <v>-4.3583923484382128</v>
      </c>
    </row>
    <row r="6" spans="1:5" x14ac:dyDescent="0.25">
      <c r="A6" s="2">
        <v>1.3888888888888888E-2</v>
      </c>
      <c r="B6">
        <v>9.6999999999999993</v>
      </c>
      <c r="C6" s="2">
        <v>1.38888888888889E-2</v>
      </c>
      <c r="D6">
        <f t="shared" si="0"/>
        <v>1.2932269734799997</v>
      </c>
      <c r="E6">
        <f t="shared" si="1"/>
        <v>-4.3480295614026669</v>
      </c>
    </row>
    <row r="7" spans="1:5" x14ac:dyDescent="0.25">
      <c r="A7" s="2">
        <v>1.4583333333333301E-2</v>
      </c>
      <c r="B7">
        <v>9.6999999999999993</v>
      </c>
      <c r="C7" s="2">
        <v>1.4583333333333399E-2</v>
      </c>
      <c r="D7">
        <f t="shared" si="0"/>
        <v>1.2932269734799997</v>
      </c>
      <c r="E7">
        <f t="shared" si="1"/>
        <v>-4.3480295614026669</v>
      </c>
    </row>
    <row r="8" spans="1:5" x14ac:dyDescent="0.25">
      <c r="A8" s="2">
        <v>1.5277777777777777E-2</v>
      </c>
      <c r="B8">
        <v>9.8000000000000007</v>
      </c>
      <c r="C8" s="2">
        <v>1.52777777777779E-2</v>
      </c>
      <c r="D8">
        <f t="shared" si="0"/>
        <v>1.3065592103199999</v>
      </c>
      <c r="E8">
        <f t="shared" si="1"/>
        <v>-4.3377730612354775</v>
      </c>
    </row>
    <row r="9" spans="1:5" x14ac:dyDescent="0.25">
      <c r="A9" s="2">
        <v>1.5972222222222224E-2</v>
      </c>
      <c r="B9">
        <v>9.9</v>
      </c>
      <c r="C9" s="2">
        <v>1.5972222222222401E-2</v>
      </c>
      <c r="D9">
        <f t="shared" si="0"/>
        <v>1.3198914471599998</v>
      </c>
      <c r="E9">
        <f t="shared" si="1"/>
        <v>-4.3276206897714591</v>
      </c>
    </row>
    <row r="10" spans="1:5" x14ac:dyDescent="0.25">
      <c r="A10" s="2">
        <v>1.6666666666666666E-2</v>
      </c>
      <c r="B10">
        <v>10</v>
      </c>
      <c r="C10" s="2">
        <v>1.6666666666666899E-2</v>
      </c>
      <c r="D10">
        <f t="shared" si="0"/>
        <v>1.3332236839999998</v>
      </c>
      <c r="E10">
        <f t="shared" si="1"/>
        <v>-4.317570353917958</v>
      </c>
    </row>
    <row r="11" spans="1:5" x14ac:dyDescent="0.25">
      <c r="A11" s="2">
        <v>1.7361111111111101E-2</v>
      </c>
      <c r="B11">
        <v>10</v>
      </c>
      <c r="C11" s="2">
        <v>1.73611111111114E-2</v>
      </c>
      <c r="D11">
        <f t="shared" si="0"/>
        <v>1.3332236839999998</v>
      </c>
      <c r="E11">
        <f t="shared" si="1"/>
        <v>-4.317570353917958</v>
      </c>
    </row>
    <row r="12" spans="1:5" x14ac:dyDescent="0.25">
      <c r="A12" s="2">
        <v>1.8055555555555599E-2</v>
      </c>
      <c r="B12">
        <v>10</v>
      </c>
      <c r="C12" s="2">
        <v>1.8055555555555901E-2</v>
      </c>
      <c r="D12">
        <f t="shared" si="0"/>
        <v>1.3332236839999998</v>
      </c>
      <c r="E12">
        <f t="shared" si="1"/>
        <v>-4.317570353917958</v>
      </c>
    </row>
    <row r="13" spans="1:5" x14ac:dyDescent="0.25">
      <c r="A13" s="2">
        <v>1.8749999999999999E-2</v>
      </c>
      <c r="B13">
        <v>10</v>
      </c>
      <c r="C13" s="2">
        <v>1.8750000000000398E-2</v>
      </c>
      <c r="D13">
        <f t="shared" si="0"/>
        <v>1.3332236839999998</v>
      </c>
      <c r="E13">
        <f t="shared" si="1"/>
        <v>-4.317570353917958</v>
      </c>
    </row>
    <row r="14" spans="1:5" x14ac:dyDescent="0.25">
      <c r="A14" s="2">
        <v>1.94444444444444E-2</v>
      </c>
      <c r="B14">
        <v>10</v>
      </c>
      <c r="C14" s="2">
        <v>1.9444444444444899E-2</v>
      </c>
      <c r="D14">
        <f t="shared" si="0"/>
        <v>1.3332236839999998</v>
      </c>
      <c r="E14">
        <f t="shared" si="1"/>
        <v>-4.317570353917958</v>
      </c>
    </row>
    <row r="15" spans="1:5" x14ac:dyDescent="0.25">
      <c r="A15" s="2">
        <v>2.013888888888889E-2</v>
      </c>
      <c r="B15">
        <v>11</v>
      </c>
      <c r="C15" s="2">
        <v>2.01388888888894E-2</v>
      </c>
      <c r="D15">
        <f t="shared" si="0"/>
        <v>1.4665460523999998</v>
      </c>
      <c r="E15">
        <f t="shared" si="1"/>
        <v>-4.2222601741136332</v>
      </c>
    </row>
    <row r="16" spans="1:5" x14ac:dyDescent="0.25">
      <c r="A16" s="2">
        <v>2.0833333333333402E-2</v>
      </c>
      <c r="B16">
        <v>11</v>
      </c>
      <c r="C16" s="2">
        <v>2.0833333333333901E-2</v>
      </c>
      <c r="D16">
        <f t="shared" si="0"/>
        <v>1.4665460523999998</v>
      </c>
      <c r="E16">
        <f t="shared" si="1"/>
        <v>-4.2222601741136332</v>
      </c>
    </row>
    <row r="17" spans="1:5" x14ac:dyDescent="0.25">
      <c r="A17" s="2">
        <v>2.1527777777777781E-2</v>
      </c>
      <c r="B17">
        <v>12</v>
      </c>
      <c r="C17" s="2">
        <v>2.1527777777778399E-2</v>
      </c>
      <c r="D17">
        <f t="shared" si="0"/>
        <v>1.5998684208</v>
      </c>
      <c r="E17">
        <f t="shared" si="1"/>
        <v>-4.1352487971240031</v>
      </c>
    </row>
    <row r="18" spans="1:5" x14ac:dyDescent="0.25">
      <c r="A18" s="2">
        <v>2.2222222222222223E-2</v>
      </c>
      <c r="B18">
        <v>13</v>
      </c>
      <c r="C18" s="2">
        <v>2.22222222222229E-2</v>
      </c>
      <c r="D18">
        <f t="shared" si="0"/>
        <v>1.7331907892</v>
      </c>
      <c r="E18">
        <f t="shared" si="1"/>
        <v>-4.0552060894504667</v>
      </c>
    </row>
    <row r="19" spans="1:5" x14ac:dyDescent="0.25">
      <c r="A19" s="2">
        <v>2.2916666666666669E-2</v>
      </c>
      <c r="B19">
        <v>14</v>
      </c>
      <c r="C19" s="2">
        <v>2.2916666666667401E-2</v>
      </c>
      <c r="D19">
        <f t="shared" si="0"/>
        <v>1.8665131576</v>
      </c>
      <c r="E19">
        <f t="shared" si="1"/>
        <v>-3.981098117296745</v>
      </c>
    </row>
    <row r="20" spans="1:5" x14ac:dyDescent="0.25">
      <c r="A20" s="2">
        <v>2.361111111111111E-2</v>
      </c>
      <c r="B20">
        <v>16</v>
      </c>
      <c r="C20" s="2">
        <v>2.3611111111111902E-2</v>
      </c>
      <c r="D20">
        <f t="shared" si="0"/>
        <v>2.1331578944</v>
      </c>
      <c r="E20">
        <f t="shared" si="1"/>
        <v>-3.8475667246722223</v>
      </c>
    </row>
    <row r="21" spans="1:5" x14ac:dyDescent="0.25">
      <c r="A21" s="2">
        <v>2.4305555555555556E-2</v>
      </c>
      <c r="B21">
        <v>19</v>
      </c>
      <c r="C21" s="2">
        <v>2.4305555555556399E-2</v>
      </c>
      <c r="D21">
        <f t="shared" si="0"/>
        <v>2.5331249995999996</v>
      </c>
      <c r="E21">
        <f t="shared" si="1"/>
        <v>-3.6757164677455632</v>
      </c>
    </row>
    <row r="22" spans="1:5" x14ac:dyDescent="0.25">
      <c r="A22" s="2">
        <v>2.4999999999999998E-2</v>
      </c>
      <c r="B22">
        <v>22</v>
      </c>
      <c r="C22" s="2">
        <v>2.50000000000009E-2</v>
      </c>
      <c r="D22">
        <f t="shared" si="0"/>
        <v>2.9330921047999996</v>
      </c>
      <c r="E22">
        <f t="shared" si="1"/>
        <v>-3.5291129935536878</v>
      </c>
    </row>
    <row r="23" spans="1:5" x14ac:dyDescent="0.25">
      <c r="A23" s="2">
        <v>2.5694444444444447E-2</v>
      </c>
      <c r="B23">
        <v>26</v>
      </c>
      <c r="C23" s="2">
        <v>2.5694444444445401E-2</v>
      </c>
      <c r="D23">
        <f t="shared" si="0"/>
        <v>3.4663815784000001</v>
      </c>
      <c r="E23">
        <f t="shared" si="1"/>
        <v>-3.3620589088905213</v>
      </c>
    </row>
    <row r="24" spans="1:5" x14ac:dyDescent="0.25">
      <c r="A24" s="2">
        <v>2.6388888888888899E-2</v>
      </c>
      <c r="B24">
        <v>29</v>
      </c>
      <c r="C24" s="2">
        <v>2.6388888888889898E-2</v>
      </c>
      <c r="D24">
        <f t="shared" si="0"/>
        <v>3.8663486835999996</v>
      </c>
      <c r="E24">
        <f t="shared" si="1"/>
        <v>-3.2528596169255297</v>
      </c>
    </row>
    <row r="25" spans="1:5" x14ac:dyDescent="0.25">
      <c r="A25" s="2">
        <v>2.70833333333333E-2</v>
      </c>
      <c r="B25">
        <v>30</v>
      </c>
      <c r="C25" s="2">
        <v>2.7083333333334399E-2</v>
      </c>
      <c r="D25">
        <f t="shared" si="0"/>
        <v>3.9996710519999996</v>
      </c>
      <c r="E25">
        <f t="shared" si="1"/>
        <v>-3.2189580652498484</v>
      </c>
    </row>
    <row r="26" spans="1:5" x14ac:dyDescent="0.25">
      <c r="A26" s="2">
        <v>2.7777777777777801E-2</v>
      </c>
      <c r="B26">
        <v>31</v>
      </c>
      <c r="C26" s="2">
        <v>2.77777777777789E-2</v>
      </c>
      <c r="D26">
        <f t="shared" si="0"/>
        <v>4.1329934203999992</v>
      </c>
      <c r="E26">
        <f t="shared" si="1"/>
        <v>-3.1861682424268576</v>
      </c>
    </row>
    <row r="27" spans="1:5" x14ac:dyDescent="0.25">
      <c r="A27" s="2">
        <v>2.8472222222222201E-2</v>
      </c>
      <c r="B27">
        <v>32</v>
      </c>
      <c r="C27" s="2">
        <v>2.8472222222223401E-2</v>
      </c>
      <c r="D27">
        <f t="shared" si="0"/>
        <v>4.2663157888000001</v>
      </c>
      <c r="E27">
        <f t="shared" si="1"/>
        <v>-3.1544195441122769</v>
      </c>
    </row>
    <row r="28" spans="1:5" x14ac:dyDescent="0.25">
      <c r="A28" s="2">
        <v>2.9166666666666601E-2</v>
      </c>
      <c r="B28">
        <v>32</v>
      </c>
      <c r="C28" s="2">
        <v>2.9166666666667899E-2</v>
      </c>
      <c r="D28">
        <f t="shared" si="0"/>
        <v>4.2663157888000001</v>
      </c>
      <c r="E28">
        <f t="shared" si="1"/>
        <v>-3.1544195441122769</v>
      </c>
    </row>
    <row r="29" spans="1:5" x14ac:dyDescent="0.25">
      <c r="A29" s="2">
        <v>2.9861111111111099E-2</v>
      </c>
      <c r="B29">
        <v>33</v>
      </c>
      <c r="C29" s="2">
        <v>2.98611111111124E-2</v>
      </c>
      <c r="D29">
        <f t="shared" si="0"/>
        <v>4.3996381572000001</v>
      </c>
      <c r="E29">
        <f t="shared" si="1"/>
        <v>-3.1236478854455232</v>
      </c>
    </row>
    <row r="30" spans="1:5" x14ac:dyDescent="0.25">
      <c r="A30" s="2">
        <v>3.05555555555556E-2</v>
      </c>
      <c r="B30">
        <v>34</v>
      </c>
      <c r="C30" s="2">
        <v>3.0555555555556901E-2</v>
      </c>
      <c r="D30">
        <f t="shared" si="0"/>
        <v>4.5329605255999992</v>
      </c>
      <c r="E30">
        <f t="shared" si="1"/>
        <v>-3.0937949222958423</v>
      </c>
    </row>
    <row r="31" spans="1:5" x14ac:dyDescent="0.25">
      <c r="A31" s="2">
        <v>3.125E-2</v>
      </c>
      <c r="B31">
        <v>34</v>
      </c>
      <c r="C31" s="2">
        <v>3.1250000000001402E-2</v>
      </c>
      <c r="D31">
        <f t="shared" si="0"/>
        <v>4.5329605255999992</v>
      </c>
      <c r="E31">
        <f t="shared" si="1"/>
        <v>-3.0937949222958423</v>
      </c>
    </row>
    <row r="32" spans="1:5" x14ac:dyDescent="0.25">
      <c r="A32" s="2">
        <v>3.1944444444444497E-2</v>
      </c>
      <c r="B32">
        <v>35</v>
      </c>
      <c r="C32" s="2">
        <v>3.1944444444445899E-2</v>
      </c>
      <c r="D32">
        <f t="shared" si="0"/>
        <v>4.6662828940000001</v>
      </c>
      <c r="E32">
        <f t="shared" si="1"/>
        <v>-3.0648073854225899</v>
      </c>
    </row>
    <row r="33" spans="1:5" x14ac:dyDescent="0.25">
      <c r="A33" s="2">
        <v>3.2638888888889002E-2</v>
      </c>
      <c r="B33">
        <v>36</v>
      </c>
      <c r="C33" s="2">
        <v>3.2638888888890397E-2</v>
      </c>
      <c r="D33">
        <f t="shared" si="0"/>
        <v>4.7996052623999992</v>
      </c>
      <c r="E33">
        <f t="shared" si="1"/>
        <v>-3.0366365084558935</v>
      </c>
    </row>
    <row r="34" spans="1:5" x14ac:dyDescent="0.25">
      <c r="A34" s="2">
        <v>3.3333333333333499E-2</v>
      </c>
      <c r="B34">
        <v>36</v>
      </c>
      <c r="C34" s="2">
        <v>3.3333333333334901E-2</v>
      </c>
      <c r="D34">
        <f t="shared" si="0"/>
        <v>4.7996052623999992</v>
      </c>
      <c r="E34">
        <f t="shared" si="1"/>
        <v>-3.0366365084558935</v>
      </c>
    </row>
    <row r="35" spans="1:5" x14ac:dyDescent="0.25">
      <c r="A35" s="2">
        <v>3.4027777777777997E-2</v>
      </c>
      <c r="B35">
        <v>37</v>
      </c>
      <c r="C35" s="2">
        <v>3.4027777777779399E-2</v>
      </c>
      <c r="D35">
        <f t="shared" si="0"/>
        <v>4.9329276308000001</v>
      </c>
      <c r="E35">
        <f t="shared" si="1"/>
        <v>-3.0092375342677791</v>
      </c>
    </row>
    <row r="36" spans="1:5" x14ac:dyDescent="0.25">
      <c r="A36" s="2">
        <v>3.4722222222222501E-2</v>
      </c>
      <c r="B36">
        <v>37</v>
      </c>
      <c r="C36" s="2">
        <v>3.4722222222223903E-2</v>
      </c>
      <c r="D36">
        <f t="shared" si="0"/>
        <v>4.9329276308000001</v>
      </c>
      <c r="E36">
        <f t="shared" si="1"/>
        <v>-3.0092375342677791</v>
      </c>
    </row>
    <row r="37" spans="1:5" x14ac:dyDescent="0.25">
      <c r="A37" s="2">
        <v>3.5416666666666999E-2</v>
      </c>
      <c r="B37">
        <v>38</v>
      </c>
      <c r="C37" s="2">
        <v>3.54166666666684E-2</v>
      </c>
      <c r="D37">
        <f t="shared" si="0"/>
        <v>5.0662499991999992</v>
      </c>
      <c r="E37">
        <f t="shared" si="1"/>
        <v>-2.9825692871856178</v>
      </c>
    </row>
    <row r="38" spans="1:5" x14ac:dyDescent="0.25">
      <c r="A38" s="2">
        <v>3.6111111111111503E-2</v>
      </c>
      <c r="B38">
        <v>39</v>
      </c>
      <c r="C38" s="2">
        <v>3.6111111111112898E-2</v>
      </c>
      <c r="D38">
        <f t="shared" si="0"/>
        <v>5.1995723676000001</v>
      </c>
      <c r="E38">
        <f t="shared" si="1"/>
        <v>-2.9565938007823571</v>
      </c>
    </row>
    <row r="39" spans="1:5" x14ac:dyDescent="0.25">
      <c r="A39" s="2">
        <v>3.6805555555556001E-2</v>
      </c>
      <c r="B39">
        <v>40</v>
      </c>
      <c r="C39" s="2">
        <v>3.6805555555557402E-2</v>
      </c>
      <c r="D39">
        <f t="shared" si="0"/>
        <v>5.3328947359999992</v>
      </c>
      <c r="E39">
        <f t="shared" si="1"/>
        <v>-2.9312759927980676</v>
      </c>
    </row>
    <row r="40" spans="1:5" x14ac:dyDescent="0.25">
      <c r="A40" s="2">
        <v>3.7500000000000498E-2</v>
      </c>
      <c r="B40">
        <v>40</v>
      </c>
      <c r="C40" s="2">
        <v>3.75000000000019E-2</v>
      </c>
      <c r="D40">
        <f t="shared" si="0"/>
        <v>5.3328947359999992</v>
      </c>
      <c r="E40">
        <f t="shared" si="1"/>
        <v>-2.9312759927980676</v>
      </c>
    </row>
    <row r="41" spans="1:5" x14ac:dyDescent="0.25">
      <c r="A41" s="2">
        <v>3.8194444444445003E-2</v>
      </c>
      <c r="B41">
        <v>41</v>
      </c>
      <c r="C41" s="2">
        <v>3.8194444444446397E-2</v>
      </c>
      <c r="D41">
        <f t="shared" si="0"/>
        <v>5.4662171044000001</v>
      </c>
      <c r="E41">
        <f t="shared" si="1"/>
        <v>-2.9065833802076959</v>
      </c>
    </row>
    <row r="42" spans="1:5" x14ac:dyDescent="0.25">
      <c r="A42" s="2">
        <v>3.88888888888895E-2</v>
      </c>
      <c r="B42">
        <v>42</v>
      </c>
      <c r="C42" s="2">
        <v>3.8888888888890902E-2</v>
      </c>
      <c r="D42">
        <f t="shared" si="0"/>
        <v>5.5995394727999992</v>
      </c>
      <c r="E42">
        <f t="shared" si="1"/>
        <v>-2.8824858286286354</v>
      </c>
    </row>
    <row r="43" spans="1:5" x14ac:dyDescent="0.25">
      <c r="A43" s="2">
        <v>3.9583333333333998E-2</v>
      </c>
      <c r="B43">
        <v>42</v>
      </c>
      <c r="C43" s="2">
        <v>3.9583333333335399E-2</v>
      </c>
      <c r="D43">
        <f t="shared" si="0"/>
        <v>5.5995394727999992</v>
      </c>
      <c r="E43">
        <f t="shared" si="1"/>
        <v>-2.8824858286286354</v>
      </c>
    </row>
    <row r="44" spans="1:5" x14ac:dyDescent="0.25">
      <c r="A44" s="2">
        <v>4.0277777777778502E-2</v>
      </c>
      <c r="B44">
        <v>43</v>
      </c>
      <c r="C44" s="2">
        <v>4.0277777777779897E-2</v>
      </c>
      <c r="D44">
        <f t="shared" si="0"/>
        <v>5.7328618412000001</v>
      </c>
      <c r="E44">
        <f t="shared" si="1"/>
        <v>-2.858955331218441</v>
      </c>
    </row>
    <row r="45" spans="1:5" x14ac:dyDescent="0.25">
      <c r="A45" s="2">
        <v>4.0972222222223E-2</v>
      </c>
      <c r="B45">
        <v>44</v>
      </c>
      <c r="C45" s="2">
        <v>4.0972222222224401E-2</v>
      </c>
      <c r="D45">
        <f t="shared" si="0"/>
        <v>5.8661842095999992</v>
      </c>
      <c r="E45">
        <f t="shared" si="1"/>
        <v>-2.8359658129937424</v>
      </c>
    </row>
    <row r="46" spans="1:5" x14ac:dyDescent="0.25">
      <c r="A46" s="2">
        <v>4.1666666666667497E-2</v>
      </c>
      <c r="B46">
        <v>45</v>
      </c>
      <c r="C46" s="2">
        <v>4.1666666666668899E-2</v>
      </c>
      <c r="D46">
        <f t="shared" si="0"/>
        <v>5.9995065780000001</v>
      </c>
      <c r="E46">
        <f t="shared" si="1"/>
        <v>-2.8134929571416838</v>
      </c>
    </row>
    <row r="47" spans="1:5" x14ac:dyDescent="0.25">
      <c r="A47" s="2">
        <v>4.2361111111112001E-2</v>
      </c>
      <c r="B47">
        <v>45</v>
      </c>
      <c r="C47" s="2">
        <v>4.2361111111113403E-2</v>
      </c>
      <c r="D47">
        <f t="shared" si="0"/>
        <v>5.9995065780000001</v>
      </c>
      <c r="E47">
        <f t="shared" si="1"/>
        <v>-2.8134929571416838</v>
      </c>
    </row>
    <row r="48" spans="1:5" x14ac:dyDescent="0.25">
      <c r="A48" s="2">
        <v>4.3055555555556499E-2</v>
      </c>
      <c r="B48">
        <v>46</v>
      </c>
      <c r="C48" s="2">
        <v>4.3055555555557901E-2</v>
      </c>
      <c r="D48">
        <f t="shared" si="0"/>
        <v>6.1328289463999992</v>
      </c>
      <c r="E48">
        <f t="shared" si="1"/>
        <v>-2.7915140504229088</v>
      </c>
    </row>
    <row r="49" spans="1:5" x14ac:dyDescent="0.25">
      <c r="A49" s="2">
        <v>4.3750000000001003E-2</v>
      </c>
      <c r="B49">
        <v>47</v>
      </c>
      <c r="C49" s="2">
        <v>4.3750000000002398E-2</v>
      </c>
      <c r="D49">
        <f t="shared" si="0"/>
        <v>6.2661513147999992</v>
      </c>
      <c r="E49">
        <f t="shared" si="1"/>
        <v>-2.770007845201945</v>
      </c>
    </row>
    <row r="50" spans="1:5" x14ac:dyDescent="0.25">
      <c r="A50" s="2">
        <v>4.4444444444445501E-2</v>
      </c>
      <c r="B50">
        <v>47</v>
      </c>
      <c r="C50" s="2">
        <v>4.4444444444446903E-2</v>
      </c>
      <c r="D50">
        <f t="shared" si="0"/>
        <v>6.2661513147999992</v>
      </c>
      <c r="E50">
        <f t="shared" si="1"/>
        <v>-2.770007845201945</v>
      </c>
    </row>
    <row r="51" spans="1:5" x14ac:dyDescent="0.25">
      <c r="A51" s="2">
        <v>4.5138888888889901E-2</v>
      </c>
      <c r="B51">
        <v>48</v>
      </c>
      <c r="C51" s="2">
        <v>4.51388888888914E-2</v>
      </c>
      <c r="D51">
        <f t="shared" si="0"/>
        <v>6.3994736832000001</v>
      </c>
      <c r="E51">
        <f t="shared" si="1"/>
        <v>-2.7489544360041127</v>
      </c>
    </row>
    <row r="52" spans="1:5" x14ac:dyDescent="0.25">
      <c r="A52" s="2">
        <v>4.5833333333334399E-2</v>
      </c>
      <c r="B52">
        <v>49</v>
      </c>
      <c r="C52" s="2">
        <v>4.5833333333335897E-2</v>
      </c>
      <c r="D52">
        <f t="shared" si="0"/>
        <v>6.5327960515999992</v>
      </c>
      <c r="E52">
        <f t="shared" si="1"/>
        <v>-2.728335148801377</v>
      </c>
    </row>
    <row r="53" spans="1:5" x14ac:dyDescent="0.25">
      <c r="A53" s="2">
        <v>4.6527777777778903E-2</v>
      </c>
      <c r="B53">
        <v>49</v>
      </c>
      <c r="C53" s="2">
        <v>4.6527777777780402E-2</v>
      </c>
      <c r="D53">
        <f t="shared" si="0"/>
        <v>6.5327960515999992</v>
      </c>
      <c r="E53">
        <f t="shared" si="1"/>
        <v>-2.728335148801377</v>
      </c>
    </row>
    <row r="54" spans="1:5" x14ac:dyDescent="0.25">
      <c r="A54" s="2">
        <v>4.7222222222223401E-2</v>
      </c>
      <c r="B54">
        <v>50</v>
      </c>
      <c r="C54" s="2">
        <v>4.7222222222224997E-2</v>
      </c>
      <c r="D54">
        <f t="shared" si="0"/>
        <v>6.6661184200000001</v>
      </c>
      <c r="E54">
        <f t="shared" si="1"/>
        <v>-2.7081324414838575</v>
      </c>
    </row>
    <row r="55" spans="1:5" x14ac:dyDescent="0.25">
      <c r="A55" s="2">
        <v>4.7916666666667898E-2</v>
      </c>
      <c r="B55">
        <v>51</v>
      </c>
      <c r="C55" s="2">
        <v>4.7916666666669501E-2</v>
      </c>
      <c r="D55">
        <f t="shared" si="0"/>
        <v>6.7994407883999992</v>
      </c>
      <c r="E55">
        <f t="shared" si="1"/>
        <v>-2.6883298141876781</v>
      </c>
    </row>
    <row r="56" spans="1:5" x14ac:dyDescent="0.25">
      <c r="A56" s="2">
        <v>4.8611111111112403E-2</v>
      </c>
      <c r="B56">
        <v>51</v>
      </c>
      <c r="C56" s="2">
        <v>4.8611111111113998E-2</v>
      </c>
      <c r="D56">
        <f t="shared" si="0"/>
        <v>6.7994407883999992</v>
      </c>
      <c r="E56">
        <f t="shared" si="1"/>
        <v>-2.6883298141876781</v>
      </c>
    </row>
    <row r="57" spans="1:5" x14ac:dyDescent="0.25">
      <c r="A57" s="2">
        <v>4.93055555555569E-2</v>
      </c>
      <c r="B57">
        <v>52</v>
      </c>
      <c r="C57" s="2">
        <v>4.9305555555558503E-2</v>
      </c>
      <c r="D57">
        <f t="shared" si="0"/>
        <v>6.9327631568000001</v>
      </c>
      <c r="E57">
        <f t="shared" si="1"/>
        <v>-2.6689117283305763</v>
      </c>
    </row>
    <row r="58" spans="1:5" x14ac:dyDescent="0.25">
      <c r="A58" s="2">
        <v>5.0000000000001397E-2</v>
      </c>
      <c r="B58">
        <v>53</v>
      </c>
      <c r="C58" s="2">
        <v>5.0000000000003E-2</v>
      </c>
      <c r="D58">
        <f t="shared" si="0"/>
        <v>7.0660855251999992</v>
      </c>
      <c r="E58">
        <f t="shared" si="1"/>
        <v>-2.6498635333598819</v>
      </c>
    </row>
    <row r="59" spans="1:5" x14ac:dyDescent="0.25">
      <c r="A59" s="2">
        <v>5.0694444444445902E-2</v>
      </c>
      <c r="B59">
        <v>54</v>
      </c>
      <c r="C59" s="2">
        <v>5.0694444444447498E-2</v>
      </c>
      <c r="D59">
        <f t="shared" si="0"/>
        <v>7.1994078936000001</v>
      </c>
      <c r="E59">
        <f t="shared" si="1"/>
        <v>-2.6311714003477293</v>
      </c>
    </row>
    <row r="60" spans="1:5" x14ac:dyDescent="0.25">
      <c r="A60" s="2">
        <v>5.1388888888890399E-2</v>
      </c>
      <c r="B60">
        <v>54</v>
      </c>
      <c r="C60" s="2">
        <v>5.1388888888892002E-2</v>
      </c>
      <c r="D60">
        <f t="shared" si="0"/>
        <v>7.1994078936000001</v>
      </c>
      <c r="E60">
        <f t="shared" si="1"/>
        <v>-2.6311714003477293</v>
      </c>
    </row>
    <row r="61" spans="1:5" x14ac:dyDescent="0.25">
      <c r="A61" s="2">
        <v>5.2083333333334897E-2</v>
      </c>
      <c r="B61">
        <v>55</v>
      </c>
      <c r="C61" s="2">
        <v>5.20833333333365E-2</v>
      </c>
      <c r="D61">
        <f t="shared" si="0"/>
        <v>7.3327302619999992</v>
      </c>
      <c r="E61">
        <f t="shared" si="1"/>
        <v>-2.6128222616795327</v>
      </c>
    </row>
    <row r="62" spans="1:5" x14ac:dyDescent="0.25">
      <c r="A62" s="2">
        <v>5.2777777777779401E-2</v>
      </c>
      <c r="B62">
        <v>56</v>
      </c>
      <c r="C62" s="2">
        <v>5.2777777777780997E-2</v>
      </c>
      <c r="D62">
        <f t="shared" si="0"/>
        <v>7.4660526304000001</v>
      </c>
      <c r="E62">
        <f t="shared" si="1"/>
        <v>-2.5948037561768542</v>
      </c>
    </row>
    <row r="63" spans="1:5" x14ac:dyDescent="0.25">
      <c r="A63" s="2">
        <v>5.3472222222223899E-2</v>
      </c>
      <c r="B63">
        <v>57</v>
      </c>
      <c r="C63" s="2">
        <v>5.3472222222225502E-2</v>
      </c>
      <c r="D63">
        <f t="shared" si="0"/>
        <v>7.5993749987999992</v>
      </c>
      <c r="E63">
        <f t="shared" si="1"/>
        <v>-2.5771041790774536</v>
      </c>
    </row>
    <row r="64" spans="1:5" x14ac:dyDescent="0.25">
      <c r="A64" s="2">
        <v>5.4166666666668403E-2</v>
      </c>
      <c r="B64">
        <v>57</v>
      </c>
      <c r="C64" s="2">
        <v>5.4166666666669999E-2</v>
      </c>
      <c r="D64">
        <f t="shared" si="0"/>
        <v>7.5993749987999992</v>
      </c>
      <c r="E64">
        <f t="shared" si="1"/>
        <v>-2.5771041790774536</v>
      </c>
    </row>
    <row r="65" spans="1:5" x14ac:dyDescent="0.25">
      <c r="A65" s="2">
        <v>5.4861111111112901E-2</v>
      </c>
      <c r="B65">
        <v>58</v>
      </c>
      <c r="C65" s="2">
        <v>5.4861111111114497E-2</v>
      </c>
      <c r="D65">
        <f t="shared" si="0"/>
        <v>7.7326973671999992</v>
      </c>
      <c r="E65">
        <f t="shared" si="1"/>
        <v>-2.5597124363655843</v>
      </c>
    </row>
    <row r="66" spans="1:5" x14ac:dyDescent="0.25">
      <c r="A66" s="2">
        <v>5.5555555555557398E-2</v>
      </c>
      <c r="B66">
        <v>59</v>
      </c>
      <c r="C66" s="2">
        <v>5.5555555555559001E-2</v>
      </c>
      <c r="D66">
        <f t="shared" si="0"/>
        <v>7.8660197355999992</v>
      </c>
      <c r="E66">
        <f t="shared" si="1"/>
        <v>-2.5426180030062842</v>
      </c>
    </row>
    <row r="67" spans="1:5" x14ac:dyDescent="0.25">
      <c r="A67" s="2">
        <v>5.6250000000001903E-2</v>
      </c>
      <c r="B67">
        <v>59</v>
      </c>
      <c r="C67" s="2">
        <v>5.6250000000003499E-2</v>
      </c>
      <c r="D67">
        <f t="shared" ref="D67:D130" si="2">B67*133.3223684 * 0.001</f>
        <v>7.8660197355999992</v>
      </c>
      <c r="E67">
        <f t="shared" ref="E67:E130" si="3">LOG(D67*0.01, EXP(1))</f>
        <v>-2.5426180030062842</v>
      </c>
    </row>
    <row r="68" spans="1:5" x14ac:dyDescent="0.25">
      <c r="A68" s="2">
        <v>5.69444444444464E-2</v>
      </c>
      <c r="B68">
        <v>60</v>
      </c>
      <c r="C68" s="2">
        <v>5.6944444444448003E-2</v>
      </c>
      <c r="D68">
        <f t="shared" si="2"/>
        <v>7.9993421039999992</v>
      </c>
      <c r="E68">
        <f t="shared" si="3"/>
        <v>-2.525810884689903</v>
      </c>
    </row>
    <row r="69" spans="1:5" x14ac:dyDescent="0.25">
      <c r="A69" s="2">
        <v>5.7638888888890898E-2</v>
      </c>
      <c r="B69">
        <v>61</v>
      </c>
      <c r="C69" s="2">
        <v>5.7638888888892501E-2</v>
      </c>
      <c r="D69">
        <f t="shared" si="2"/>
        <v>8.1326644723999983</v>
      </c>
      <c r="E69">
        <f t="shared" si="3"/>
        <v>-2.5092815827386925</v>
      </c>
    </row>
    <row r="70" spans="1:5" x14ac:dyDescent="0.25">
      <c r="A70" s="2">
        <v>5.8333333333335402E-2</v>
      </c>
      <c r="B70">
        <v>61</v>
      </c>
      <c r="C70" s="2">
        <v>5.8333333333336998E-2</v>
      </c>
      <c r="D70">
        <f t="shared" si="2"/>
        <v>8.1326644723999983</v>
      </c>
      <c r="E70">
        <f t="shared" si="3"/>
        <v>-2.5092815827386925</v>
      </c>
    </row>
    <row r="71" spans="1:5" x14ac:dyDescent="0.25">
      <c r="A71" s="2">
        <v>5.9027777777779802E-2</v>
      </c>
      <c r="B71">
        <v>62</v>
      </c>
      <c r="C71" s="2">
        <v>5.9027777777781502E-2</v>
      </c>
      <c r="D71">
        <f t="shared" si="2"/>
        <v>8.2659868407999983</v>
      </c>
      <c r="E71">
        <f t="shared" si="3"/>
        <v>-2.4930210618669122</v>
      </c>
    </row>
    <row r="72" spans="1:5" x14ac:dyDescent="0.25">
      <c r="A72" s="2">
        <v>5.97222222222243E-2</v>
      </c>
      <c r="B72">
        <v>63</v>
      </c>
      <c r="C72" s="2">
        <v>5.9722222222226E-2</v>
      </c>
      <c r="D72">
        <f t="shared" si="2"/>
        <v>8.3993092091999983</v>
      </c>
      <c r="E72">
        <f t="shared" si="3"/>
        <v>-2.4770207205204713</v>
      </c>
    </row>
    <row r="73" spans="1:5" x14ac:dyDescent="0.25">
      <c r="A73" s="2">
        <v>6.0416666666668797E-2</v>
      </c>
      <c r="B73">
        <v>64</v>
      </c>
      <c r="C73" s="2">
        <v>6.0416666666670497E-2</v>
      </c>
      <c r="D73">
        <f t="shared" si="2"/>
        <v>8.5326315776000001</v>
      </c>
      <c r="E73">
        <f t="shared" si="3"/>
        <v>-2.4612723635523319</v>
      </c>
    </row>
    <row r="74" spans="1:5" x14ac:dyDescent="0.25">
      <c r="A74" s="2">
        <v>6.1111111111113302E-2</v>
      </c>
      <c r="B74">
        <v>64</v>
      </c>
      <c r="C74" s="2">
        <v>6.1111111111115002E-2</v>
      </c>
      <c r="D74">
        <f t="shared" si="2"/>
        <v>8.5326315776000001</v>
      </c>
      <c r="E74">
        <f t="shared" si="3"/>
        <v>-2.4612723635523319</v>
      </c>
    </row>
    <row r="75" spans="1:5" x14ac:dyDescent="0.25">
      <c r="A75" s="2">
        <v>6.1805555555557799E-2</v>
      </c>
      <c r="B75">
        <v>65</v>
      </c>
      <c r="C75" s="2">
        <v>6.1805555555559499E-2</v>
      </c>
      <c r="D75">
        <f t="shared" si="2"/>
        <v>8.6659539460000001</v>
      </c>
      <c r="E75">
        <f t="shared" si="3"/>
        <v>-2.4457681770163666</v>
      </c>
    </row>
    <row r="76" spans="1:5" x14ac:dyDescent="0.25">
      <c r="A76" s="2">
        <v>6.2500000000002304E-2</v>
      </c>
      <c r="B76">
        <v>65</v>
      </c>
      <c r="C76" s="2">
        <v>6.2500000000003997E-2</v>
      </c>
      <c r="D76">
        <f t="shared" si="2"/>
        <v>8.6659539460000001</v>
      </c>
      <c r="E76">
        <f t="shared" si="3"/>
        <v>-2.4457681770163666</v>
      </c>
    </row>
    <row r="77" spans="1:5" x14ac:dyDescent="0.25">
      <c r="A77" s="2">
        <v>6.3194444444446801E-2</v>
      </c>
      <c r="B77">
        <v>66</v>
      </c>
      <c r="C77" s="2">
        <v>6.3194444444448494E-2</v>
      </c>
      <c r="D77">
        <f t="shared" si="2"/>
        <v>8.7992763144000001</v>
      </c>
      <c r="E77">
        <f t="shared" si="3"/>
        <v>-2.4305007048855778</v>
      </c>
    </row>
    <row r="78" spans="1:5" x14ac:dyDescent="0.25">
      <c r="A78" s="2">
        <v>6.3888888888891299E-2</v>
      </c>
      <c r="B78">
        <v>67</v>
      </c>
      <c r="C78" s="2">
        <v>6.3888888888893006E-2</v>
      </c>
      <c r="D78">
        <f t="shared" si="2"/>
        <v>8.9325986827999984</v>
      </c>
      <c r="E78">
        <f t="shared" si="3"/>
        <v>-2.4154628275210377</v>
      </c>
    </row>
    <row r="79" spans="1:5" x14ac:dyDescent="0.25">
      <c r="A79" s="2">
        <v>6.4583333333335796E-2</v>
      </c>
      <c r="B79">
        <v>67</v>
      </c>
      <c r="C79" s="2">
        <v>6.4583333333337503E-2</v>
      </c>
      <c r="D79">
        <f t="shared" si="2"/>
        <v>8.9325986827999984</v>
      </c>
      <c r="E79">
        <f t="shared" si="3"/>
        <v>-2.4154628275210377</v>
      </c>
    </row>
    <row r="80" spans="1:5" x14ac:dyDescent="0.25">
      <c r="A80" s="2">
        <v>6.5277777777780294E-2</v>
      </c>
      <c r="B80">
        <v>68</v>
      </c>
      <c r="C80" s="2">
        <v>6.5277777777782001E-2</v>
      </c>
      <c r="D80">
        <f t="shared" si="2"/>
        <v>9.0659210511999984</v>
      </c>
      <c r="E80">
        <f t="shared" si="3"/>
        <v>-2.4006477417358969</v>
      </c>
    </row>
    <row r="81" spans="1:5" x14ac:dyDescent="0.25">
      <c r="A81" s="2">
        <v>6.5972222222224805E-2</v>
      </c>
      <c r="B81">
        <v>69</v>
      </c>
      <c r="C81" s="2">
        <v>6.5972222222226498E-2</v>
      </c>
      <c r="D81">
        <f t="shared" si="2"/>
        <v>9.1992434196000001</v>
      </c>
      <c r="E81">
        <f t="shared" si="3"/>
        <v>-2.3860489423147442</v>
      </c>
    </row>
    <row r="82" spans="1:5" x14ac:dyDescent="0.25">
      <c r="A82" s="2">
        <v>6.6666666666669303E-2</v>
      </c>
      <c r="B82">
        <v>70</v>
      </c>
      <c r="C82" s="2">
        <v>6.6666666666670996E-2</v>
      </c>
      <c r="D82">
        <f t="shared" si="2"/>
        <v>9.3325657880000001</v>
      </c>
      <c r="E82">
        <f t="shared" si="3"/>
        <v>-2.3716602048626445</v>
      </c>
    </row>
    <row r="83" spans="1:5" x14ac:dyDescent="0.25">
      <c r="A83" s="2">
        <v>6.73611111111138E-2</v>
      </c>
      <c r="B83">
        <v>70</v>
      </c>
      <c r="C83" s="2">
        <v>6.7361111111115396E-2</v>
      </c>
      <c r="D83">
        <f t="shared" si="2"/>
        <v>9.3325657880000001</v>
      </c>
      <c r="E83">
        <f t="shared" si="3"/>
        <v>-2.3716602048626445</v>
      </c>
    </row>
    <row r="84" spans="1:5" x14ac:dyDescent="0.25">
      <c r="A84" s="2">
        <v>6.8055555555558297E-2</v>
      </c>
      <c r="B84">
        <v>71</v>
      </c>
      <c r="C84" s="2">
        <v>6.8055555555559893E-2</v>
      </c>
      <c r="D84">
        <f t="shared" si="2"/>
        <v>9.4658881563999984</v>
      </c>
      <c r="E84">
        <f t="shared" si="3"/>
        <v>-2.3574755698706884</v>
      </c>
    </row>
    <row r="85" spans="1:5" x14ac:dyDescent="0.25">
      <c r="A85" s="2">
        <v>6.8750000000002795E-2</v>
      </c>
      <c r="B85">
        <v>72</v>
      </c>
      <c r="C85" s="2">
        <v>6.8750000000004405E-2</v>
      </c>
      <c r="D85">
        <f t="shared" si="2"/>
        <v>9.5992105247999984</v>
      </c>
      <c r="E85">
        <f t="shared" si="3"/>
        <v>-2.3434893278959485</v>
      </c>
    </row>
    <row r="86" spans="1:5" x14ac:dyDescent="0.25">
      <c r="A86" s="2">
        <v>6.9444444444447306E-2</v>
      </c>
      <c r="B86" s="3">
        <v>72</v>
      </c>
      <c r="C86" s="2">
        <v>6.9444444444448902E-2</v>
      </c>
      <c r="D86">
        <f t="shared" si="2"/>
        <v>9.5992105247999984</v>
      </c>
      <c r="E86">
        <f t="shared" si="3"/>
        <v>-2.3434893278959485</v>
      </c>
    </row>
    <row r="87" spans="1:5" x14ac:dyDescent="0.25">
      <c r="A87" s="2">
        <v>7.0138888888891804E-2</v>
      </c>
      <c r="B87">
        <v>71</v>
      </c>
      <c r="C87" s="2">
        <v>7.01388888888934E-2</v>
      </c>
      <c r="D87">
        <f t="shared" si="2"/>
        <v>9.4658881563999984</v>
      </c>
      <c r="E87">
        <f t="shared" si="3"/>
        <v>-2.3574755698706884</v>
      </c>
    </row>
    <row r="88" spans="1:5" x14ac:dyDescent="0.25">
      <c r="A88" s="2">
        <v>7.0833333333336301E-2</v>
      </c>
      <c r="B88">
        <v>67</v>
      </c>
      <c r="C88" s="2">
        <v>7.0833333333337897E-2</v>
      </c>
      <c r="D88">
        <f t="shared" si="2"/>
        <v>8.9325986827999984</v>
      </c>
      <c r="E88">
        <f t="shared" si="3"/>
        <v>-2.4154628275210377</v>
      </c>
    </row>
    <row r="89" spans="1:5" x14ac:dyDescent="0.25">
      <c r="A89" s="2">
        <v>7.1527777777780799E-2</v>
      </c>
      <c r="B89">
        <v>63</v>
      </c>
      <c r="C89" s="2">
        <v>7.1527777777782395E-2</v>
      </c>
      <c r="D89">
        <f t="shared" si="2"/>
        <v>8.3993092091999983</v>
      </c>
      <c r="E89">
        <f t="shared" si="3"/>
        <v>-2.4770207205204713</v>
      </c>
    </row>
    <row r="90" spans="1:5" x14ac:dyDescent="0.25">
      <c r="A90" s="2">
        <v>7.2222222222225296E-2</v>
      </c>
      <c r="B90">
        <v>57</v>
      </c>
      <c r="C90" s="2">
        <v>7.2222222222226906E-2</v>
      </c>
      <c r="D90">
        <f t="shared" si="2"/>
        <v>7.5993749987999992</v>
      </c>
      <c r="E90">
        <f t="shared" si="3"/>
        <v>-2.5771041790774536</v>
      </c>
    </row>
    <row r="91" spans="1:5" x14ac:dyDescent="0.25">
      <c r="A91" s="2">
        <v>7.2916666666669794E-2</v>
      </c>
      <c r="B91">
        <v>49</v>
      </c>
      <c r="C91" s="2">
        <v>7.2916666666671404E-2</v>
      </c>
      <c r="D91">
        <f t="shared" si="2"/>
        <v>6.5327960515999992</v>
      </c>
      <c r="E91">
        <f t="shared" si="3"/>
        <v>-2.728335148801377</v>
      </c>
    </row>
    <row r="92" spans="1:5" x14ac:dyDescent="0.25">
      <c r="A92" s="2">
        <v>7.3611111111114305E-2</v>
      </c>
      <c r="B92">
        <v>41</v>
      </c>
      <c r="C92" s="2">
        <v>7.3611111111115901E-2</v>
      </c>
      <c r="D92">
        <f t="shared" si="2"/>
        <v>5.4662171044000001</v>
      </c>
      <c r="E92">
        <f t="shared" si="3"/>
        <v>-2.9065833802076959</v>
      </c>
    </row>
    <row r="93" spans="1:5" x14ac:dyDescent="0.25">
      <c r="A93" s="2">
        <v>7.4305555555558803E-2</v>
      </c>
      <c r="B93">
        <v>34</v>
      </c>
      <c r="C93" s="2">
        <v>7.4305555555560399E-2</v>
      </c>
      <c r="D93">
        <f t="shared" si="2"/>
        <v>4.5329605255999992</v>
      </c>
      <c r="E93">
        <f t="shared" si="3"/>
        <v>-3.0937949222958423</v>
      </c>
    </row>
    <row r="94" spans="1:5" x14ac:dyDescent="0.25">
      <c r="A94" s="2">
        <v>7.50000000000033E-2</v>
      </c>
      <c r="B94">
        <v>29</v>
      </c>
      <c r="C94" s="2">
        <v>7.5000000000004896E-2</v>
      </c>
      <c r="D94">
        <f t="shared" si="2"/>
        <v>3.8663486835999996</v>
      </c>
      <c r="E94">
        <f t="shared" si="3"/>
        <v>-3.2528596169255297</v>
      </c>
    </row>
    <row r="95" spans="1:5" x14ac:dyDescent="0.25">
      <c r="A95" s="2">
        <v>7.5694444444447798E-2</v>
      </c>
      <c r="B95">
        <v>26</v>
      </c>
      <c r="C95" s="2">
        <v>7.5694444444449394E-2</v>
      </c>
      <c r="D95">
        <f t="shared" si="2"/>
        <v>3.4663815784000001</v>
      </c>
      <c r="E95">
        <f t="shared" si="3"/>
        <v>-3.3620589088905213</v>
      </c>
    </row>
    <row r="96" spans="1:5" x14ac:dyDescent="0.25">
      <c r="A96" s="2">
        <v>7.6388888888892295E-2</v>
      </c>
      <c r="B96">
        <v>23</v>
      </c>
      <c r="C96" s="2">
        <v>7.6388888888893905E-2</v>
      </c>
      <c r="D96">
        <f t="shared" si="2"/>
        <v>3.0664144731999996</v>
      </c>
      <c r="E96">
        <f t="shared" si="3"/>
        <v>-3.4846612309828542</v>
      </c>
    </row>
    <row r="97" spans="1:5" x14ac:dyDescent="0.25">
      <c r="A97" s="2">
        <v>7.7083333333336806E-2</v>
      </c>
      <c r="B97">
        <v>19</v>
      </c>
      <c r="C97" s="2">
        <v>7.7083333333338402E-2</v>
      </c>
      <c r="D97">
        <f t="shared" si="2"/>
        <v>2.5331249995999996</v>
      </c>
      <c r="E97">
        <f t="shared" si="3"/>
        <v>-3.6757164677455632</v>
      </c>
    </row>
    <row r="98" spans="1:5" x14ac:dyDescent="0.25">
      <c r="A98" s="2">
        <v>7.7777777777781304E-2</v>
      </c>
      <c r="B98">
        <v>18</v>
      </c>
      <c r="C98" s="2">
        <v>7.77777777777829E-2</v>
      </c>
      <c r="D98">
        <f t="shared" si="2"/>
        <v>2.3998026311999996</v>
      </c>
      <c r="E98">
        <f t="shared" si="3"/>
        <v>-3.7297836890158389</v>
      </c>
    </row>
    <row r="99" spans="1:5" x14ac:dyDescent="0.25">
      <c r="A99" s="2">
        <v>7.8472222222225801E-2</v>
      </c>
      <c r="B99">
        <v>17</v>
      </c>
      <c r="C99" s="2">
        <v>7.8472222222227397E-2</v>
      </c>
      <c r="D99">
        <f t="shared" si="2"/>
        <v>2.2664802627999996</v>
      </c>
      <c r="E99">
        <f t="shared" si="3"/>
        <v>-3.7869421028557877</v>
      </c>
    </row>
    <row r="100" spans="1:5" x14ac:dyDescent="0.25">
      <c r="A100" s="2">
        <v>7.9166666666670299E-2</v>
      </c>
      <c r="B100">
        <v>16</v>
      </c>
      <c r="C100" s="2">
        <v>7.9166666666671895E-2</v>
      </c>
      <c r="D100">
        <f t="shared" si="2"/>
        <v>2.1331578944</v>
      </c>
      <c r="E100">
        <f t="shared" si="3"/>
        <v>-3.8475667246722223</v>
      </c>
    </row>
    <row r="101" spans="1:5" x14ac:dyDescent="0.25">
      <c r="A101" s="2">
        <v>7.9861111111114796E-2</v>
      </c>
      <c r="B101">
        <v>15</v>
      </c>
      <c r="C101" s="2">
        <v>7.9861111111116406E-2</v>
      </c>
      <c r="D101">
        <f t="shared" si="2"/>
        <v>1.9998355259999998</v>
      </c>
      <c r="E101">
        <f t="shared" si="3"/>
        <v>-3.9121052458097934</v>
      </c>
    </row>
    <row r="102" spans="1:5" x14ac:dyDescent="0.25">
      <c r="A102" s="2">
        <v>8.0555555555559294E-2</v>
      </c>
      <c r="B102">
        <v>14</v>
      </c>
      <c r="C102" s="2">
        <v>8.0555555555560904E-2</v>
      </c>
      <c r="D102">
        <f t="shared" si="2"/>
        <v>1.8665131576</v>
      </c>
      <c r="E102">
        <f t="shared" si="3"/>
        <v>-3.981098117296745</v>
      </c>
    </row>
    <row r="103" spans="1:5" x14ac:dyDescent="0.25">
      <c r="A103" s="2">
        <v>8.1250000000003805E-2</v>
      </c>
      <c r="B103">
        <v>13</v>
      </c>
      <c r="C103" s="2">
        <v>8.1250000000005401E-2</v>
      </c>
      <c r="D103">
        <f t="shared" si="2"/>
        <v>1.7331907892</v>
      </c>
      <c r="E103">
        <f t="shared" si="3"/>
        <v>-4.0552060894504667</v>
      </c>
    </row>
    <row r="104" spans="1:5" x14ac:dyDescent="0.25">
      <c r="A104" s="2">
        <v>8.1944444444448303E-2</v>
      </c>
      <c r="B104">
        <v>13</v>
      </c>
      <c r="C104" s="2">
        <v>8.1944444444449899E-2</v>
      </c>
      <c r="D104">
        <f t="shared" si="2"/>
        <v>1.7331907892</v>
      </c>
      <c r="E104">
        <f t="shared" si="3"/>
        <v>-4.0552060894504667</v>
      </c>
    </row>
    <row r="105" spans="1:5" x14ac:dyDescent="0.25">
      <c r="A105" s="2">
        <v>8.26388888888928E-2</v>
      </c>
      <c r="B105">
        <v>12</v>
      </c>
      <c r="C105" s="2">
        <v>8.2638888888894396E-2</v>
      </c>
      <c r="D105">
        <f t="shared" si="2"/>
        <v>1.5998684208</v>
      </c>
      <c r="E105">
        <f t="shared" si="3"/>
        <v>-4.1352487971240031</v>
      </c>
    </row>
    <row r="106" spans="1:5" x14ac:dyDescent="0.25">
      <c r="A106" s="2">
        <v>8.3333333333337298E-2</v>
      </c>
      <c r="B106">
        <v>12</v>
      </c>
      <c r="C106" s="2">
        <v>8.3333333333338894E-2</v>
      </c>
      <c r="D106">
        <f t="shared" si="2"/>
        <v>1.5998684208</v>
      </c>
      <c r="E106">
        <f t="shared" si="3"/>
        <v>-4.1352487971240031</v>
      </c>
    </row>
    <row r="107" spans="1:5" x14ac:dyDescent="0.25">
      <c r="A107" s="2">
        <v>8.4027777777781795E-2</v>
      </c>
      <c r="B107">
        <v>11</v>
      </c>
      <c r="C107" s="2">
        <v>8.4027777777783405E-2</v>
      </c>
      <c r="D107">
        <f t="shared" si="2"/>
        <v>1.4665460523999998</v>
      </c>
      <c r="E107">
        <f t="shared" si="3"/>
        <v>-4.2222601741136332</v>
      </c>
    </row>
    <row r="108" spans="1:5" x14ac:dyDescent="0.25">
      <c r="A108" s="2">
        <v>9.0972222222222218E-2</v>
      </c>
      <c r="B108">
        <v>10</v>
      </c>
      <c r="C108" s="3" t="s">
        <v>9</v>
      </c>
      <c r="D108">
        <f t="shared" si="2"/>
        <v>1.3332236839999998</v>
      </c>
      <c r="E108">
        <f t="shared" si="3"/>
        <v>-4.317570353917958</v>
      </c>
    </row>
    <row r="109" spans="1:5" x14ac:dyDescent="0.25">
      <c r="A109" s="2">
        <v>0.15138888888888888</v>
      </c>
      <c r="B109">
        <v>11</v>
      </c>
      <c r="C109" s="3" t="s">
        <v>9</v>
      </c>
      <c r="D109">
        <f t="shared" si="2"/>
        <v>1.4665460523999998</v>
      </c>
      <c r="E109">
        <f t="shared" si="3"/>
        <v>-4.2222601741136332</v>
      </c>
    </row>
    <row r="110" spans="1:5" x14ac:dyDescent="0.25">
      <c r="A110" s="2">
        <v>0.15416666666666667</v>
      </c>
      <c r="B110">
        <v>12</v>
      </c>
      <c r="C110" s="2">
        <v>0.15416666666666667</v>
      </c>
      <c r="D110">
        <f t="shared" si="2"/>
        <v>1.5998684208</v>
      </c>
      <c r="E110">
        <f t="shared" si="3"/>
        <v>-4.1352487971240031</v>
      </c>
    </row>
    <row r="111" spans="1:5" x14ac:dyDescent="0.25">
      <c r="A111" s="2">
        <v>0.15486111111111112</v>
      </c>
      <c r="B111">
        <v>12</v>
      </c>
      <c r="C111" s="2">
        <v>0.15486111111111112</v>
      </c>
      <c r="D111">
        <f t="shared" si="2"/>
        <v>1.5998684208</v>
      </c>
      <c r="E111">
        <f t="shared" si="3"/>
        <v>-4.1352487971240031</v>
      </c>
    </row>
    <row r="112" spans="1:5" x14ac:dyDescent="0.25">
      <c r="A112" s="2">
        <v>0.155555555555556</v>
      </c>
      <c r="B112">
        <v>12</v>
      </c>
      <c r="C112" s="2">
        <v>0.155555555555556</v>
      </c>
      <c r="D112">
        <f t="shared" si="2"/>
        <v>1.5998684208</v>
      </c>
      <c r="E112">
        <f t="shared" si="3"/>
        <v>-4.1352487971240031</v>
      </c>
    </row>
    <row r="113" spans="1:5" x14ac:dyDescent="0.25">
      <c r="A113" s="2">
        <v>0.15625</v>
      </c>
      <c r="B113">
        <v>12</v>
      </c>
      <c r="C113" s="2">
        <v>0.15625</v>
      </c>
      <c r="D113">
        <f t="shared" si="2"/>
        <v>1.5998684208</v>
      </c>
      <c r="E113">
        <f t="shared" si="3"/>
        <v>-4.1352487971240031</v>
      </c>
    </row>
    <row r="114" spans="1:5" x14ac:dyDescent="0.25">
      <c r="A114" s="2">
        <v>0.156944444444444</v>
      </c>
      <c r="B114">
        <v>12</v>
      </c>
      <c r="C114" s="2">
        <v>0.156944444444444</v>
      </c>
      <c r="D114">
        <f t="shared" si="2"/>
        <v>1.5998684208</v>
      </c>
      <c r="E114">
        <f t="shared" si="3"/>
        <v>-4.1352487971240031</v>
      </c>
    </row>
    <row r="115" spans="1:5" x14ac:dyDescent="0.25">
      <c r="A115" s="2">
        <v>0.15763888888888899</v>
      </c>
      <c r="B115">
        <v>12</v>
      </c>
      <c r="C115" s="2">
        <v>0.15763888888888899</v>
      </c>
      <c r="D115">
        <f t="shared" si="2"/>
        <v>1.5998684208</v>
      </c>
      <c r="E115">
        <f t="shared" si="3"/>
        <v>-4.1352487971240031</v>
      </c>
    </row>
    <row r="116" spans="1:5" x14ac:dyDescent="0.25">
      <c r="A116" s="2">
        <v>0.15833333333333299</v>
      </c>
      <c r="B116">
        <v>12</v>
      </c>
      <c r="C116" s="2">
        <v>0.15833333333333299</v>
      </c>
      <c r="D116">
        <f t="shared" si="2"/>
        <v>1.5998684208</v>
      </c>
      <c r="E116">
        <f t="shared" si="3"/>
        <v>-4.1352487971240031</v>
      </c>
    </row>
    <row r="117" spans="1:5" x14ac:dyDescent="0.25">
      <c r="A117" s="2">
        <v>0.15902777777777799</v>
      </c>
      <c r="B117">
        <v>12</v>
      </c>
      <c r="C117" s="2">
        <v>0.15902777777777799</v>
      </c>
      <c r="D117">
        <f t="shared" si="2"/>
        <v>1.5998684208</v>
      </c>
      <c r="E117">
        <f t="shared" si="3"/>
        <v>-4.1352487971240031</v>
      </c>
    </row>
    <row r="118" spans="1:5" x14ac:dyDescent="0.25">
      <c r="A118" s="2">
        <v>0.15972222222222199</v>
      </c>
      <c r="B118">
        <v>12</v>
      </c>
      <c r="C118" s="2">
        <v>0.15972222222222199</v>
      </c>
      <c r="D118">
        <f t="shared" si="2"/>
        <v>1.5998684208</v>
      </c>
      <c r="E118">
        <f t="shared" si="3"/>
        <v>-4.1352487971240031</v>
      </c>
    </row>
    <row r="119" spans="1:5" x14ac:dyDescent="0.25">
      <c r="A119" s="2">
        <v>0.16041666666666668</v>
      </c>
      <c r="B119">
        <v>13</v>
      </c>
      <c r="C119" s="2">
        <v>0.16041666666666701</v>
      </c>
      <c r="D119">
        <f t="shared" si="2"/>
        <v>1.7331907892</v>
      </c>
      <c r="E119">
        <f t="shared" si="3"/>
        <v>-4.0552060894504667</v>
      </c>
    </row>
    <row r="120" spans="1:5" x14ac:dyDescent="0.25">
      <c r="A120" s="2">
        <v>0.16111111111111112</v>
      </c>
      <c r="B120">
        <v>14</v>
      </c>
      <c r="C120" s="2">
        <v>0.16111111111111101</v>
      </c>
      <c r="D120">
        <f t="shared" si="2"/>
        <v>1.8665131576</v>
      </c>
      <c r="E120">
        <f t="shared" si="3"/>
        <v>-3.981098117296745</v>
      </c>
    </row>
    <row r="121" spans="1:5" x14ac:dyDescent="0.25">
      <c r="A121" s="2">
        <v>0.16180555555555556</v>
      </c>
      <c r="B121">
        <v>15</v>
      </c>
      <c r="C121" s="2">
        <v>0.16180555555555601</v>
      </c>
      <c r="D121">
        <f t="shared" si="2"/>
        <v>1.9998355259999998</v>
      </c>
      <c r="E121">
        <f t="shared" si="3"/>
        <v>-3.9121052458097934</v>
      </c>
    </row>
    <row r="122" spans="1:5" x14ac:dyDescent="0.25">
      <c r="A122" s="2">
        <v>0.16250000000000001</v>
      </c>
      <c r="B122">
        <v>15</v>
      </c>
      <c r="C122" s="2">
        <v>0.162500000000001</v>
      </c>
      <c r="D122">
        <f t="shared" si="2"/>
        <v>1.9998355259999998</v>
      </c>
      <c r="E122">
        <f t="shared" si="3"/>
        <v>-3.9121052458097934</v>
      </c>
    </row>
    <row r="123" spans="1:5" x14ac:dyDescent="0.25">
      <c r="A123" s="2">
        <v>0.16319444444444445</v>
      </c>
      <c r="B123">
        <v>16</v>
      </c>
      <c r="C123" s="2">
        <v>0.163194444444446</v>
      </c>
      <c r="D123">
        <f t="shared" si="2"/>
        <v>2.1331578944</v>
      </c>
      <c r="E123">
        <f t="shared" si="3"/>
        <v>-3.8475667246722223</v>
      </c>
    </row>
    <row r="124" spans="1:5" x14ac:dyDescent="0.25">
      <c r="A124" s="2">
        <v>0.16388888888888889</v>
      </c>
      <c r="B124">
        <v>17</v>
      </c>
      <c r="C124" s="2">
        <v>0.163888888888891</v>
      </c>
      <c r="D124">
        <f t="shared" si="2"/>
        <v>2.2664802627999996</v>
      </c>
      <c r="E124">
        <f t="shared" si="3"/>
        <v>-3.7869421028557877</v>
      </c>
    </row>
    <row r="125" spans="1:5" x14ac:dyDescent="0.25">
      <c r="A125" s="2">
        <v>0.164583333333333</v>
      </c>
      <c r="B125">
        <v>18</v>
      </c>
      <c r="C125" s="2">
        <v>0.164583333333336</v>
      </c>
      <c r="D125">
        <f t="shared" si="2"/>
        <v>2.3998026311999996</v>
      </c>
      <c r="E125">
        <f t="shared" si="3"/>
        <v>-3.7297836890158389</v>
      </c>
    </row>
    <row r="126" spans="1:5" x14ac:dyDescent="0.25">
      <c r="A126" s="2">
        <v>0.165277777777778</v>
      </c>
      <c r="B126">
        <v>18</v>
      </c>
      <c r="C126" s="2">
        <v>0.16527777777778099</v>
      </c>
      <c r="D126">
        <f t="shared" si="2"/>
        <v>2.3998026311999996</v>
      </c>
      <c r="E126">
        <f t="shared" si="3"/>
        <v>-3.7297836890158389</v>
      </c>
    </row>
    <row r="127" spans="1:5" x14ac:dyDescent="0.25">
      <c r="A127" s="2">
        <v>0.16597222222222199</v>
      </c>
      <c r="B127">
        <v>19</v>
      </c>
      <c r="C127" s="2">
        <v>0.16597222222222599</v>
      </c>
      <c r="D127">
        <f t="shared" si="2"/>
        <v>2.5331249995999996</v>
      </c>
      <c r="E127">
        <f t="shared" si="3"/>
        <v>-3.6757164677455632</v>
      </c>
    </row>
    <row r="128" spans="1:5" x14ac:dyDescent="0.25">
      <c r="A128" s="2">
        <v>0.16666666666666699</v>
      </c>
      <c r="B128">
        <v>20</v>
      </c>
      <c r="C128" s="2">
        <v>0.16666666666667099</v>
      </c>
      <c r="D128">
        <f t="shared" si="2"/>
        <v>2.6664473679999996</v>
      </c>
      <c r="E128">
        <f t="shared" si="3"/>
        <v>-3.624423173358013</v>
      </c>
    </row>
    <row r="129" spans="1:5" x14ac:dyDescent="0.25">
      <c r="A129" s="2">
        <v>0.16736111111111099</v>
      </c>
      <c r="B129">
        <v>21</v>
      </c>
      <c r="C129" s="2">
        <v>0.16736111111111601</v>
      </c>
      <c r="D129">
        <f t="shared" si="2"/>
        <v>2.7997697363999996</v>
      </c>
      <c r="E129">
        <f t="shared" si="3"/>
        <v>-3.5756330091885808</v>
      </c>
    </row>
    <row r="130" spans="1:5" x14ac:dyDescent="0.25">
      <c r="A130" s="2">
        <v>0.16805555555555601</v>
      </c>
      <c r="B130">
        <v>21</v>
      </c>
      <c r="C130" s="2">
        <v>0.16805555555556101</v>
      </c>
      <c r="D130">
        <f t="shared" si="2"/>
        <v>2.7997697363999996</v>
      </c>
      <c r="E130">
        <f t="shared" si="3"/>
        <v>-3.5756330091885808</v>
      </c>
    </row>
    <row r="131" spans="1:5" x14ac:dyDescent="0.25">
      <c r="A131" s="2">
        <v>0.16875000000000001</v>
      </c>
      <c r="B131">
        <v>22</v>
      </c>
      <c r="C131" s="2">
        <v>0.16875000000000601</v>
      </c>
      <c r="D131">
        <f t="shared" ref="D131:D194" si="4">B131*133.3223684 * 0.001</f>
        <v>2.9330921047999996</v>
      </c>
      <c r="E131">
        <f t="shared" ref="E131:E194" si="5">LOG(D131*0.01, EXP(1))</f>
        <v>-3.5291129935536878</v>
      </c>
    </row>
    <row r="132" spans="1:5" x14ac:dyDescent="0.25">
      <c r="A132" s="2">
        <v>0.16944444444444401</v>
      </c>
      <c r="B132">
        <v>23</v>
      </c>
      <c r="C132" s="2">
        <v>0.169444444444451</v>
      </c>
      <c r="D132">
        <f t="shared" si="4"/>
        <v>3.0664144731999996</v>
      </c>
      <c r="E132">
        <f t="shared" si="5"/>
        <v>-3.4846612309828542</v>
      </c>
    </row>
    <row r="133" spans="1:5" x14ac:dyDescent="0.25">
      <c r="A133" s="2">
        <v>0.17013888888888901</v>
      </c>
      <c r="B133">
        <v>23</v>
      </c>
      <c r="C133" s="2">
        <v>0.170138888888896</v>
      </c>
      <c r="D133">
        <f t="shared" si="4"/>
        <v>3.0664144731999996</v>
      </c>
      <c r="E133">
        <f t="shared" si="5"/>
        <v>-3.4846612309828542</v>
      </c>
    </row>
    <row r="134" spans="1:5" x14ac:dyDescent="0.25">
      <c r="A134" s="2">
        <v>0.170833333333333</v>
      </c>
      <c r="B134">
        <v>24</v>
      </c>
      <c r="C134" s="2">
        <v>0.170833333333341</v>
      </c>
      <c r="D134">
        <f t="shared" si="4"/>
        <v>3.1997368416</v>
      </c>
      <c r="E134">
        <f t="shared" si="5"/>
        <v>-3.4421016165640577</v>
      </c>
    </row>
    <row r="135" spans="1:5" x14ac:dyDescent="0.25">
      <c r="A135" s="2">
        <v>0.171527777777778</v>
      </c>
      <c r="B135">
        <v>25</v>
      </c>
      <c r="C135" s="2">
        <v>0.17152777777778599</v>
      </c>
      <c r="D135">
        <f t="shared" si="4"/>
        <v>3.33305921</v>
      </c>
      <c r="E135">
        <f t="shared" si="5"/>
        <v>-3.4012796220438029</v>
      </c>
    </row>
    <row r="136" spans="1:5" x14ac:dyDescent="0.25">
      <c r="A136" s="2">
        <v>0.172222222222222</v>
      </c>
      <c r="B136">
        <v>26</v>
      </c>
      <c r="C136" s="2">
        <v>0.17222222222223099</v>
      </c>
      <c r="D136">
        <f t="shared" si="4"/>
        <v>3.4663815784000001</v>
      </c>
      <c r="E136">
        <f t="shared" si="5"/>
        <v>-3.3620589088905213</v>
      </c>
    </row>
    <row r="137" spans="1:5" x14ac:dyDescent="0.25">
      <c r="A137" s="2">
        <v>0.172916666666667</v>
      </c>
      <c r="B137">
        <v>26</v>
      </c>
      <c r="C137" s="2">
        <v>0.17291666666667599</v>
      </c>
      <c r="D137">
        <f t="shared" si="4"/>
        <v>3.4663815784000001</v>
      </c>
      <c r="E137">
        <f t="shared" si="5"/>
        <v>-3.3620589088905213</v>
      </c>
    </row>
    <row r="138" spans="1:5" x14ac:dyDescent="0.25">
      <c r="A138" s="2">
        <v>0.17361111111111099</v>
      </c>
      <c r="B138">
        <v>27</v>
      </c>
      <c r="C138" s="2">
        <v>0.17361111111112101</v>
      </c>
      <c r="D138">
        <f t="shared" si="4"/>
        <v>3.5997039468000001</v>
      </c>
      <c r="E138">
        <f t="shared" si="5"/>
        <v>-3.3243185809076743</v>
      </c>
    </row>
    <row r="139" spans="1:5" x14ac:dyDescent="0.25">
      <c r="A139" s="2">
        <v>0.17430555555555599</v>
      </c>
      <c r="B139">
        <v>27</v>
      </c>
      <c r="C139" s="2">
        <v>0.17430555555556601</v>
      </c>
      <c r="D139">
        <f t="shared" si="4"/>
        <v>3.5997039468000001</v>
      </c>
      <c r="E139">
        <f t="shared" si="5"/>
        <v>-3.3243185809076743</v>
      </c>
    </row>
    <row r="140" spans="1:5" x14ac:dyDescent="0.25">
      <c r="A140" s="2">
        <v>0.17499999999999999</v>
      </c>
      <c r="B140">
        <v>28</v>
      </c>
      <c r="C140" s="2">
        <v>0.17500000000001101</v>
      </c>
      <c r="D140">
        <f t="shared" si="4"/>
        <v>3.7330263152000001</v>
      </c>
      <c r="E140">
        <f t="shared" si="5"/>
        <v>-3.2879509367367996</v>
      </c>
    </row>
    <row r="141" spans="1:5" x14ac:dyDescent="0.25">
      <c r="A141" s="2">
        <v>0.17569444444444399</v>
      </c>
      <c r="B141">
        <v>29</v>
      </c>
      <c r="C141" s="2">
        <v>0.175694444444456</v>
      </c>
      <c r="D141">
        <f t="shared" si="4"/>
        <v>3.8663486835999996</v>
      </c>
      <c r="E141">
        <f t="shared" si="5"/>
        <v>-3.2528596169255297</v>
      </c>
    </row>
    <row r="142" spans="1:5" x14ac:dyDescent="0.25">
      <c r="A142" s="2">
        <v>0.17638888888888801</v>
      </c>
      <c r="B142">
        <v>29</v>
      </c>
      <c r="C142" s="2">
        <v>0.176388888888901</v>
      </c>
      <c r="D142">
        <f t="shared" si="4"/>
        <v>3.8663486835999996</v>
      </c>
      <c r="E142">
        <f t="shared" si="5"/>
        <v>-3.2528596169255297</v>
      </c>
    </row>
    <row r="143" spans="1:5" x14ac:dyDescent="0.25">
      <c r="A143" s="2">
        <v>0.17708333333333201</v>
      </c>
      <c r="B143">
        <v>30</v>
      </c>
      <c r="C143" s="2">
        <v>0.177083333333346</v>
      </c>
      <c r="D143">
        <f t="shared" si="4"/>
        <v>3.9996710519999996</v>
      </c>
      <c r="E143">
        <f t="shared" si="5"/>
        <v>-3.2189580652498484</v>
      </c>
    </row>
    <row r="144" spans="1:5" x14ac:dyDescent="0.25">
      <c r="A144" s="2">
        <v>0.17777777777777601</v>
      </c>
      <c r="B144">
        <v>31</v>
      </c>
      <c r="C144" s="2">
        <v>0.177777777777791</v>
      </c>
      <c r="D144">
        <f t="shared" si="4"/>
        <v>4.1329934203999992</v>
      </c>
      <c r="E144">
        <f t="shared" si="5"/>
        <v>-3.1861682424268576</v>
      </c>
    </row>
    <row r="145" spans="1:5" x14ac:dyDescent="0.25">
      <c r="A145" s="2">
        <v>0.17847222222222001</v>
      </c>
      <c r="B145">
        <v>32</v>
      </c>
      <c r="C145" s="2">
        <v>0.17847222222223599</v>
      </c>
      <c r="D145">
        <f t="shared" si="4"/>
        <v>4.2663157888000001</v>
      </c>
      <c r="E145">
        <f t="shared" si="5"/>
        <v>-3.1544195441122769</v>
      </c>
    </row>
    <row r="146" spans="1:5" x14ac:dyDescent="0.25">
      <c r="A146" s="2">
        <v>0.179166666666664</v>
      </c>
      <c r="B146">
        <v>33</v>
      </c>
      <c r="C146" s="2">
        <v>0.17916666666668099</v>
      </c>
      <c r="D146">
        <f t="shared" si="4"/>
        <v>4.3996381572000001</v>
      </c>
      <c r="E146">
        <f t="shared" si="5"/>
        <v>-3.1236478854455232</v>
      </c>
    </row>
    <row r="147" spans="1:5" x14ac:dyDescent="0.25">
      <c r="A147" s="2">
        <v>0.179861111111108</v>
      </c>
      <c r="B147">
        <v>33</v>
      </c>
      <c r="C147" s="2">
        <v>0.17986111111112599</v>
      </c>
      <c r="D147">
        <f t="shared" si="4"/>
        <v>4.3996381572000001</v>
      </c>
      <c r="E147">
        <f t="shared" si="5"/>
        <v>-3.1236478854455232</v>
      </c>
    </row>
    <row r="148" spans="1:5" x14ac:dyDescent="0.25">
      <c r="A148" s="2">
        <v>0.180555555555552</v>
      </c>
      <c r="B148">
        <v>34</v>
      </c>
      <c r="C148" s="2">
        <v>0.18055555555557101</v>
      </c>
      <c r="D148">
        <f t="shared" si="4"/>
        <v>4.5329605255999992</v>
      </c>
      <c r="E148">
        <f t="shared" si="5"/>
        <v>-3.0937949222958423</v>
      </c>
    </row>
    <row r="149" spans="1:5" x14ac:dyDescent="0.25">
      <c r="A149" s="2">
        <v>0.181249999999996</v>
      </c>
      <c r="B149">
        <v>35</v>
      </c>
      <c r="C149" s="2">
        <v>0.18125000000001601</v>
      </c>
      <c r="D149">
        <f t="shared" si="4"/>
        <v>4.6662828940000001</v>
      </c>
      <c r="E149">
        <f t="shared" si="5"/>
        <v>-3.0648073854225899</v>
      </c>
    </row>
    <row r="150" spans="1:5" x14ac:dyDescent="0.25">
      <c r="A150" s="2">
        <v>0.18194444444444</v>
      </c>
      <c r="B150">
        <v>35</v>
      </c>
      <c r="C150" s="2">
        <v>0.18194444444446101</v>
      </c>
      <c r="D150">
        <f t="shared" si="4"/>
        <v>4.6662828940000001</v>
      </c>
      <c r="E150">
        <f t="shared" si="5"/>
        <v>-3.0648073854225899</v>
      </c>
    </row>
    <row r="151" spans="1:5" x14ac:dyDescent="0.25">
      <c r="A151" s="2">
        <v>0.18263888888888399</v>
      </c>
      <c r="B151">
        <v>36</v>
      </c>
      <c r="C151" s="2">
        <v>0.182638888888906</v>
      </c>
      <c r="D151">
        <f t="shared" si="4"/>
        <v>4.7996052623999992</v>
      </c>
      <c r="E151">
        <f t="shared" si="5"/>
        <v>-3.0366365084558935</v>
      </c>
    </row>
    <row r="152" spans="1:5" x14ac:dyDescent="0.25">
      <c r="A152" s="2">
        <v>0.18333333333332799</v>
      </c>
      <c r="B152">
        <v>37</v>
      </c>
      <c r="C152" s="2">
        <v>0.183333333333351</v>
      </c>
      <c r="D152">
        <f t="shared" si="4"/>
        <v>4.9329276308000001</v>
      </c>
      <c r="E152">
        <f t="shared" si="5"/>
        <v>-3.0092375342677791</v>
      </c>
    </row>
    <row r="153" spans="1:5" x14ac:dyDescent="0.25">
      <c r="A153" s="2">
        <v>0.18402777777777199</v>
      </c>
      <c r="B153">
        <v>37</v>
      </c>
      <c r="C153" s="2">
        <v>0.184027777777796</v>
      </c>
      <c r="D153">
        <f t="shared" si="4"/>
        <v>4.9329276308000001</v>
      </c>
      <c r="E153">
        <f t="shared" si="5"/>
        <v>-3.0092375342677791</v>
      </c>
    </row>
    <row r="154" spans="1:5" x14ac:dyDescent="0.25">
      <c r="A154" s="2">
        <v>0.18472222222221599</v>
      </c>
      <c r="B154">
        <v>38</v>
      </c>
      <c r="C154" s="2">
        <v>0.18472222222224099</v>
      </c>
      <c r="D154">
        <f t="shared" si="4"/>
        <v>5.0662499991999992</v>
      </c>
      <c r="E154">
        <f t="shared" si="5"/>
        <v>-2.9825692871856178</v>
      </c>
    </row>
    <row r="155" spans="1:5" x14ac:dyDescent="0.25">
      <c r="A155" s="2">
        <v>0.18541666666666001</v>
      </c>
      <c r="B155">
        <v>39</v>
      </c>
      <c r="C155" s="2">
        <v>0.18541666666668599</v>
      </c>
      <c r="D155">
        <f t="shared" si="4"/>
        <v>5.1995723676000001</v>
      </c>
      <c r="E155">
        <f t="shared" si="5"/>
        <v>-2.9565938007823571</v>
      </c>
    </row>
    <row r="156" spans="1:5" x14ac:dyDescent="0.25">
      <c r="A156" s="2">
        <v>0.18611111111110401</v>
      </c>
      <c r="B156">
        <v>40</v>
      </c>
      <c r="C156" s="2">
        <v>0.18611111111113099</v>
      </c>
      <c r="D156">
        <f t="shared" si="4"/>
        <v>5.3328947359999992</v>
      </c>
      <c r="E156">
        <f t="shared" si="5"/>
        <v>-2.9312759927980676</v>
      </c>
    </row>
    <row r="157" spans="1:5" x14ac:dyDescent="0.25">
      <c r="A157" s="2">
        <v>0.18680555555554801</v>
      </c>
      <c r="B157">
        <v>40</v>
      </c>
      <c r="C157" s="2">
        <v>0.18680555555557599</v>
      </c>
      <c r="D157">
        <f t="shared" si="4"/>
        <v>5.3328947359999992</v>
      </c>
      <c r="E157">
        <f t="shared" si="5"/>
        <v>-2.9312759927980676</v>
      </c>
    </row>
    <row r="158" spans="1:5" x14ac:dyDescent="0.25">
      <c r="A158" s="2">
        <v>0.18749999999999201</v>
      </c>
      <c r="B158">
        <v>41</v>
      </c>
      <c r="C158" s="2">
        <v>0.18750000000002101</v>
      </c>
      <c r="D158">
        <f t="shared" si="4"/>
        <v>5.4662171044000001</v>
      </c>
      <c r="E158">
        <f t="shared" si="5"/>
        <v>-2.9065833802076959</v>
      </c>
    </row>
    <row r="159" spans="1:5" x14ac:dyDescent="0.25">
      <c r="A159" s="2">
        <v>0.18819444444444444</v>
      </c>
      <c r="B159">
        <v>42</v>
      </c>
      <c r="C159" s="2">
        <v>0.18819444444446601</v>
      </c>
      <c r="D159">
        <f t="shared" si="4"/>
        <v>5.5995394727999992</v>
      </c>
      <c r="E159">
        <f t="shared" si="5"/>
        <v>-2.8824858286286354</v>
      </c>
    </row>
    <row r="160" spans="1:5" x14ac:dyDescent="0.25">
      <c r="A160" s="2">
        <v>0.18888888888888</v>
      </c>
      <c r="B160">
        <v>42</v>
      </c>
      <c r="C160" s="2">
        <v>0.18888888888891101</v>
      </c>
      <c r="D160">
        <f t="shared" si="4"/>
        <v>5.5995394727999992</v>
      </c>
      <c r="E160">
        <f t="shared" si="5"/>
        <v>-2.8824858286286354</v>
      </c>
    </row>
    <row r="161" spans="1:5" x14ac:dyDescent="0.25">
      <c r="A161" s="2">
        <v>0.189583333333324</v>
      </c>
      <c r="B161">
        <v>43</v>
      </c>
      <c r="C161" s="2">
        <v>0.189583333333356</v>
      </c>
      <c r="D161">
        <f t="shared" si="4"/>
        <v>5.7328618412000001</v>
      </c>
      <c r="E161">
        <f t="shared" si="5"/>
        <v>-2.858955331218441</v>
      </c>
    </row>
    <row r="162" spans="1:5" x14ac:dyDescent="0.25">
      <c r="A162" s="2">
        <v>0.190277777777768</v>
      </c>
      <c r="B162">
        <v>44</v>
      </c>
      <c r="C162" s="2">
        <v>0.190277777777801</v>
      </c>
      <c r="D162">
        <f t="shared" si="4"/>
        <v>5.8661842095999992</v>
      </c>
      <c r="E162">
        <f t="shared" si="5"/>
        <v>-2.8359658129937424</v>
      </c>
    </row>
    <row r="163" spans="1:5" x14ac:dyDescent="0.25">
      <c r="A163" s="2">
        <v>0.190972222222212</v>
      </c>
      <c r="B163">
        <v>45</v>
      </c>
      <c r="C163" s="2">
        <v>0.190972222222246</v>
      </c>
      <c r="D163">
        <f t="shared" si="4"/>
        <v>5.9995065780000001</v>
      </c>
      <c r="E163">
        <f t="shared" si="5"/>
        <v>-2.8134929571416838</v>
      </c>
    </row>
    <row r="164" spans="1:5" x14ac:dyDescent="0.25">
      <c r="A164" s="2">
        <v>0.19166666666665599</v>
      </c>
      <c r="B164">
        <v>45</v>
      </c>
      <c r="C164" s="2">
        <v>0.19166666666669099</v>
      </c>
      <c r="D164">
        <f t="shared" si="4"/>
        <v>5.9995065780000001</v>
      </c>
      <c r="E164">
        <f t="shared" si="5"/>
        <v>-2.8134929571416838</v>
      </c>
    </row>
    <row r="165" spans="1:5" x14ac:dyDescent="0.25">
      <c r="A165" s="2">
        <v>0.19236111111109999</v>
      </c>
      <c r="B165">
        <v>46</v>
      </c>
      <c r="C165" s="2">
        <v>0.19236111111113599</v>
      </c>
      <c r="D165">
        <f t="shared" si="4"/>
        <v>6.1328289463999992</v>
      </c>
      <c r="E165">
        <f t="shared" si="5"/>
        <v>-2.7915140504229088</v>
      </c>
    </row>
    <row r="166" spans="1:5" x14ac:dyDescent="0.25">
      <c r="A166" s="2">
        <v>0.19305555555554399</v>
      </c>
      <c r="B166">
        <v>47</v>
      </c>
      <c r="C166" s="2">
        <v>0.19305555555558099</v>
      </c>
      <c r="D166">
        <f t="shared" si="4"/>
        <v>6.2661513147999992</v>
      </c>
      <c r="E166">
        <f t="shared" si="5"/>
        <v>-2.770007845201945</v>
      </c>
    </row>
    <row r="167" spans="1:5" x14ac:dyDescent="0.25">
      <c r="A167" s="2">
        <v>0.19374999999998799</v>
      </c>
      <c r="B167">
        <v>47</v>
      </c>
      <c r="C167" s="2">
        <v>0.19375000000002601</v>
      </c>
      <c r="D167">
        <f t="shared" si="4"/>
        <v>6.2661513147999992</v>
      </c>
      <c r="E167">
        <f t="shared" si="5"/>
        <v>-2.770007845201945</v>
      </c>
    </row>
    <row r="168" spans="1:5" x14ac:dyDescent="0.25">
      <c r="A168" s="2">
        <v>0.19444444444443201</v>
      </c>
      <c r="B168">
        <v>48</v>
      </c>
      <c r="C168" s="2">
        <v>0.19444444444447101</v>
      </c>
      <c r="D168">
        <f t="shared" si="4"/>
        <v>6.3994736832000001</v>
      </c>
      <c r="E168">
        <f t="shared" si="5"/>
        <v>-2.7489544360041127</v>
      </c>
    </row>
    <row r="169" spans="1:5" x14ac:dyDescent="0.25">
      <c r="A169" s="2">
        <v>0.19513888888887601</v>
      </c>
      <c r="B169">
        <v>49</v>
      </c>
      <c r="C169" s="2">
        <v>0.19513888888891601</v>
      </c>
      <c r="D169">
        <f t="shared" si="4"/>
        <v>6.5327960515999992</v>
      </c>
      <c r="E169">
        <f t="shared" si="5"/>
        <v>-2.728335148801377</v>
      </c>
    </row>
    <row r="170" spans="1:5" x14ac:dyDescent="0.25">
      <c r="A170" s="2">
        <v>0.19583333333332001</v>
      </c>
      <c r="B170">
        <v>49</v>
      </c>
      <c r="C170" s="2">
        <v>0.195833333333361</v>
      </c>
      <c r="D170">
        <f t="shared" si="4"/>
        <v>6.5327960515999992</v>
      </c>
      <c r="E170">
        <f t="shared" si="5"/>
        <v>-2.728335148801377</v>
      </c>
    </row>
    <row r="171" spans="1:5" x14ac:dyDescent="0.25">
      <c r="A171" s="2">
        <v>0.19652777777776401</v>
      </c>
      <c r="B171">
        <v>50</v>
      </c>
      <c r="C171" s="2">
        <v>0.196527777777806</v>
      </c>
      <c r="D171">
        <f t="shared" si="4"/>
        <v>6.6661184200000001</v>
      </c>
      <c r="E171">
        <f t="shared" si="5"/>
        <v>-2.7081324414838575</v>
      </c>
    </row>
    <row r="172" spans="1:5" x14ac:dyDescent="0.25">
      <c r="A172" s="2">
        <v>0.197222222222208</v>
      </c>
      <c r="B172">
        <v>50</v>
      </c>
      <c r="C172" s="2">
        <v>0.197222222222251</v>
      </c>
      <c r="D172">
        <f t="shared" si="4"/>
        <v>6.6661184200000001</v>
      </c>
      <c r="E172">
        <f t="shared" si="5"/>
        <v>-2.7081324414838575</v>
      </c>
    </row>
    <row r="173" spans="1:5" x14ac:dyDescent="0.25">
      <c r="A173" s="2">
        <v>0.197916666666652</v>
      </c>
      <c r="B173">
        <v>51</v>
      </c>
      <c r="C173" s="2">
        <v>0.197916666666696</v>
      </c>
      <c r="D173">
        <f t="shared" si="4"/>
        <v>6.7994407883999992</v>
      </c>
      <c r="E173">
        <f t="shared" si="5"/>
        <v>-2.6883298141876781</v>
      </c>
    </row>
    <row r="174" spans="1:5" x14ac:dyDescent="0.25">
      <c r="A174" s="2">
        <v>0.198611111111096</v>
      </c>
      <c r="B174">
        <v>52</v>
      </c>
      <c r="C174" s="2">
        <v>0.19861111111114099</v>
      </c>
      <c r="D174">
        <f t="shared" si="4"/>
        <v>6.9327631568000001</v>
      </c>
      <c r="E174">
        <f t="shared" si="5"/>
        <v>-2.6689117283305763</v>
      </c>
    </row>
    <row r="175" spans="1:5" x14ac:dyDescent="0.25">
      <c r="A175" s="2">
        <v>0.19930555555554</v>
      </c>
      <c r="B175">
        <v>53</v>
      </c>
      <c r="C175" s="2">
        <v>0.19930555555558599</v>
      </c>
      <c r="D175">
        <f t="shared" si="4"/>
        <v>7.0660855251999992</v>
      </c>
      <c r="E175">
        <f t="shared" si="5"/>
        <v>-2.6498635333598819</v>
      </c>
    </row>
    <row r="176" spans="1:5" x14ac:dyDescent="0.25">
      <c r="A176" s="2">
        <v>0.199999999999984</v>
      </c>
      <c r="B176">
        <v>54</v>
      </c>
      <c r="C176" s="2">
        <v>0.20000000000003099</v>
      </c>
      <c r="D176">
        <f t="shared" si="4"/>
        <v>7.1994078936000001</v>
      </c>
      <c r="E176">
        <f t="shared" si="5"/>
        <v>-2.6311714003477293</v>
      </c>
    </row>
    <row r="177" spans="1:5" x14ac:dyDescent="0.25">
      <c r="A177" s="2">
        <v>0.20069444444442799</v>
      </c>
      <c r="B177">
        <v>54</v>
      </c>
      <c r="C177" s="2">
        <v>0.20069444444447601</v>
      </c>
      <c r="D177">
        <f t="shared" si="4"/>
        <v>7.1994078936000001</v>
      </c>
      <c r="E177">
        <f t="shared" si="5"/>
        <v>-2.6311714003477293</v>
      </c>
    </row>
    <row r="178" spans="1:5" x14ac:dyDescent="0.25">
      <c r="A178" s="2">
        <v>0.20138888888887199</v>
      </c>
      <c r="B178">
        <v>55</v>
      </c>
      <c r="C178" s="2">
        <v>0.20138888888892101</v>
      </c>
      <c r="D178">
        <f t="shared" si="4"/>
        <v>7.3327302619999992</v>
      </c>
      <c r="E178">
        <f t="shared" si="5"/>
        <v>-2.6128222616795327</v>
      </c>
    </row>
    <row r="179" spans="1:5" x14ac:dyDescent="0.25">
      <c r="A179" s="2">
        <v>0.20208333333331599</v>
      </c>
      <c r="B179">
        <v>55</v>
      </c>
      <c r="C179" s="2">
        <v>0.20208333333336601</v>
      </c>
      <c r="D179">
        <f t="shared" si="4"/>
        <v>7.3327302619999992</v>
      </c>
      <c r="E179">
        <f t="shared" si="5"/>
        <v>-2.6128222616795327</v>
      </c>
    </row>
    <row r="180" spans="1:5" x14ac:dyDescent="0.25">
      <c r="A180" s="2">
        <v>0.20277777777775999</v>
      </c>
      <c r="B180">
        <v>56</v>
      </c>
      <c r="C180" s="2">
        <v>0.202777777777811</v>
      </c>
      <c r="D180">
        <f t="shared" si="4"/>
        <v>7.4660526304000001</v>
      </c>
      <c r="E180">
        <f t="shared" si="5"/>
        <v>-2.5948037561768542</v>
      </c>
    </row>
    <row r="181" spans="1:5" x14ac:dyDescent="0.25">
      <c r="A181" s="2">
        <v>0.20347222222220401</v>
      </c>
      <c r="B181">
        <v>57</v>
      </c>
      <c r="C181" s="2">
        <v>0.203472222222256</v>
      </c>
      <c r="D181">
        <f t="shared" si="4"/>
        <v>7.5993749987999992</v>
      </c>
      <c r="E181">
        <f t="shared" si="5"/>
        <v>-2.5771041790774536</v>
      </c>
    </row>
    <row r="182" spans="1:5" x14ac:dyDescent="0.25">
      <c r="A182" s="2">
        <v>0.20416666666664801</v>
      </c>
      <c r="B182">
        <v>57</v>
      </c>
      <c r="C182" s="2">
        <v>0.204166666666701</v>
      </c>
      <c r="D182">
        <f t="shared" si="4"/>
        <v>7.5993749987999992</v>
      </c>
      <c r="E182">
        <f t="shared" si="5"/>
        <v>-2.5771041790774536</v>
      </c>
    </row>
    <row r="183" spans="1:5" x14ac:dyDescent="0.25">
      <c r="A183" s="2">
        <v>0.20486111111109201</v>
      </c>
      <c r="B183">
        <v>58</v>
      </c>
      <c r="C183" s="2">
        <v>0.20486111111114599</v>
      </c>
      <c r="D183">
        <f t="shared" si="4"/>
        <v>7.7326973671999992</v>
      </c>
      <c r="E183">
        <f t="shared" si="5"/>
        <v>-2.5597124363655843</v>
      </c>
    </row>
    <row r="184" spans="1:5" x14ac:dyDescent="0.25">
      <c r="A184" s="2">
        <v>0.20555555555553601</v>
      </c>
      <c r="B184">
        <v>59</v>
      </c>
      <c r="C184" s="2">
        <v>0.20555555555559099</v>
      </c>
      <c r="D184">
        <f t="shared" si="4"/>
        <v>7.8660197355999992</v>
      </c>
      <c r="E184">
        <f t="shared" si="5"/>
        <v>-2.5426180030062842</v>
      </c>
    </row>
    <row r="185" spans="1:5" x14ac:dyDescent="0.25">
      <c r="A185" s="2">
        <v>0.20624999999998</v>
      </c>
      <c r="B185">
        <v>60</v>
      </c>
      <c r="C185" s="2">
        <v>0.20625000000003599</v>
      </c>
      <c r="D185">
        <f t="shared" si="4"/>
        <v>7.9993421039999992</v>
      </c>
      <c r="E185">
        <f t="shared" si="5"/>
        <v>-2.525810884689903</v>
      </c>
    </row>
    <row r="186" spans="1:5" x14ac:dyDescent="0.25">
      <c r="A186" s="2">
        <v>0.206944444444424</v>
      </c>
      <c r="B186">
        <v>60</v>
      </c>
      <c r="C186" s="2">
        <v>0.20694444444448101</v>
      </c>
      <c r="D186">
        <f t="shared" si="4"/>
        <v>7.9993421039999992</v>
      </c>
      <c r="E186">
        <f t="shared" si="5"/>
        <v>-2.525810884689903</v>
      </c>
    </row>
    <row r="187" spans="1:5" x14ac:dyDescent="0.25">
      <c r="A187" s="2">
        <v>0.207638888888868</v>
      </c>
      <c r="B187">
        <v>61</v>
      </c>
      <c r="C187" s="2">
        <v>0.20763888888892601</v>
      </c>
      <c r="D187">
        <f t="shared" si="4"/>
        <v>8.1326644723999983</v>
      </c>
      <c r="E187">
        <f t="shared" si="5"/>
        <v>-2.5092815827386925</v>
      </c>
    </row>
    <row r="188" spans="1:5" x14ac:dyDescent="0.25">
      <c r="A188" s="2">
        <v>0.208333333333312</v>
      </c>
      <c r="B188">
        <v>62</v>
      </c>
      <c r="C188" s="2">
        <v>0.20833333333337101</v>
      </c>
      <c r="D188">
        <f t="shared" si="4"/>
        <v>8.2659868407999983</v>
      </c>
      <c r="E188">
        <f t="shared" si="5"/>
        <v>-2.4930210618669122</v>
      </c>
    </row>
    <row r="189" spans="1:5" x14ac:dyDescent="0.25">
      <c r="A189" s="2">
        <v>0.209027777777756</v>
      </c>
      <c r="B189">
        <v>62</v>
      </c>
      <c r="C189" s="2">
        <v>0.209027777777816</v>
      </c>
      <c r="D189">
        <f t="shared" si="4"/>
        <v>8.2659868407999983</v>
      </c>
      <c r="E189">
        <f t="shared" si="5"/>
        <v>-2.4930210618669122</v>
      </c>
    </row>
    <row r="190" spans="1:5" x14ac:dyDescent="0.25">
      <c r="A190" s="2">
        <v>0.20972222222219999</v>
      </c>
      <c r="B190">
        <v>63</v>
      </c>
      <c r="C190" s="2">
        <v>0.209722222222261</v>
      </c>
      <c r="D190">
        <f t="shared" si="4"/>
        <v>8.3993092091999983</v>
      </c>
      <c r="E190">
        <f t="shared" si="5"/>
        <v>-2.4770207205204713</v>
      </c>
    </row>
    <row r="191" spans="1:5" x14ac:dyDescent="0.25">
      <c r="A191" s="2">
        <v>0.21041666666664399</v>
      </c>
      <c r="B191">
        <v>63</v>
      </c>
      <c r="C191" s="2">
        <v>0.210416666666706</v>
      </c>
      <c r="D191">
        <f t="shared" si="4"/>
        <v>8.3993092091999983</v>
      </c>
      <c r="E191">
        <f t="shared" si="5"/>
        <v>-2.4770207205204713</v>
      </c>
    </row>
    <row r="192" spans="1:5" x14ac:dyDescent="0.25">
      <c r="A192" s="2">
        <v>0.21111111111108799</v>
      </c>
      <c r="B192">
        <v>64</v>
      </c>
      <c r="C192" s="2">
        <v>0.211111111111151</v>
      </c>
      <c r="D192">
        <f t="shared" si="4"/>
        <v>8.5326315776000001</v>
      </c>
      <c r="E192">
        <f t="shared" si="5"/>
        <v>-2.4612723635523319</v>
      </c>
    </row>
    <row r="193" spans="1:5" x14ac:dyDescent="0.25">
      <c r="A193" s="2">
        <v>0.21180555555553199</v>
      </c>
      <c r="B193">
        <v>65</v>
      </c>
      <c r="C193" s="2">
        <v>0.21180555555559599</v>
      </c>
      <c r="D193">
        <f t="shared" si="4"/>
        <v>8.6659539460000001</v>
      </c>
      <c r="E193">
        <f t="shared" si="5"/>
        <v>-2.4457681770163666</v>
      </c>
    </row>
    <row r="194" spans="1:5" x14ac:dyDescent="0.25">
      <c r="A194" s="2">
        <v>0.21249999999997601</v>
      </c>
      <c r="B194">
        <v>65</v>
      </c>
      <c r="C194" s="2">
        <v>0.21250000000004099</v>
      </c>
      <c r="D194">
        <f t="shared" si="4"/>
        <v>8.6659539460000001</v>
      </c>
      <c r="E194">
        <f t="shared" si="5"/>
        <v>-2.4457681770163666</v>
      </c>
    </row>
    <row r="195" spans="1:5" x14ac:dyDescent="0.25">
      <c r="A195" s="2">
        <v>0.21319444444442001</v>
      </c>
      <c r="B195">
        <v>66</v>
      </c>
      <c r="C195" s="2">
        <v>0.21319444444448599</v>
      </c>
      <c r="D195">
        <f t="shared" ref="D195:D226" si="6">B195*133.3223684 * 0.001</f>
        <v>8.7992763144000001</v>
      </c>
      <c r="E195">
        <f t="shared" ref="E195:E226" si="7">LOG(D195*0.01, EXP(1))</f>
        <v>-2.4305007048855778</v>
      </c>
    </row>
    <row r="196" spans="1:5" x14ac:dyDescent="0.25">
      <c r="A196" s="2">
        <v>0.21388888888886401</v>
      </c>
      <c r="B196">
        <v>67</v>
      </c>
      <c r="C196" s="2">
        <v>0.21388888888893101</v>
      </c>
      <c r="D196">
        <f t="shared" si="6"/>
        <v>8.9325986827999984</v>
      </c>
      <c r="E196">
        <f t="shared" si="7"/>
        <v>-2.4154628275210377</v>
      </c>
    </row>
    <row r="197" spans="1:5" x14ac:dyDescent="0.25">
      <c r="A197" s="2">
        <v>0.21458333333330801</v>
      </c>
      <c r="B197">
        <v>68</v>
      </c>
      <c r="C197" s="2">
        <v>0.21458333333337601</v>
      </c>
      <c r="D197">
        <f t="shared" si="6"/>
        <v>9.0659210511999984</v>
      </c>
      <c r="E197">
        <f t="shared" si="7"/>
        <v>-2.4006477417358969</v>
      </c>
    </row>
    <row r="198" spans="1:5" x14ac:dyDescent="0.25">
      <c r="A198" s="2">
        <v>0.21527777777775201</v>
      </c>
      <c r="B198">
        <v>68</v>
      </c>
      <c r="C198" s="2">
        <v>0.21527777777782101</v>
      </c>
      <c r="D198">
        <f t="shared" si="6"/>
        <v>9.0659210511999984</v>
      </c>
      <c r="E198">
        <f t="shared" si="7"/>
        <v>-2.4006477417358969</v>
      </c>
    </row>
    <row r="199" spans="1:5" x14ac:dyDescent="0.25">
      <c r="A199" s="2">
        <v>0.215972222222196</v>
      </c>
      <c r="B199">
        <v>69</v>
      </c>
      <c r="C199" s="2">
        <v>0.215972222222266</v>
      </c>
      <c r="D199">
        <f t="shared" si="6"/>
        <v>9.1992434196000001</v>
      </c>
      <c r="E199">
        <f t="shared" si="7"/>
        <v>-2.3860489423147442</v>
      </c>
    </row>
    <row r="200" spans="1:5" x14ac:dyDescent="0.25">
      <c r="A200" s="2">
        <v>0.21666666666664</v>
      </c>
      <c r="B200">
        <v>69</v>
      </c>
      <c r="C200" s="2">
        <v>0.216666666666711</v>
      </c>
      <c r="D200">
        <f t="shared" si="6"/>
        <v>9.1992434196000001</v>
      </c>
      <c r="E200">
        <f t="shared" si="7"/>
        <v>-2.3860489423147442</v>
      </c>
    </row>
    <row r="201" spans="1:5" x14ac:dyDescent="0.25">
      <c r="A201" s="2">
        <v>0.217361111111084</v>
      </c>
      <c r="B201">
        <v>70</v>
      </c>
      <c r="C201" s="2">
        <v>0.217361111111156</v>
      </c>
      <c r="D201">
        <f t="shared" si="6"/>
        <v>9.3325657880000001</v>
      </c>
      <c r="E201">
        <f t="shared" si="7"/>
        <v>-2.3716602048626445</v>
      </c>
    </row>
    <row r="202" spans="1:5" x14ac:dyDescent="0.25">
      <c r="A202" s="2">
        <v>0.218055555555528</v>
      </c>
      <c r="B202">
        <v>71</v>
      </c>
      <c r="C202" s="2">
        <v>0.21805555555560099</v>
      </c>
      <c r="D202">
        <f t="shared" si="6"/>
        <v>9.4658881563999984</v>
      </c>
      <c r="E202">
        <f t="shared" si="7"/>
        <v>-2.3574755698706884</v>
      </c>
    </row>
    <row r="203" spans="1:5" x14ac:dyDescent="0.25">
      <c r="A203" s="2">
        <v>0.21874999999997199</v>
      </c>
      <c r="B203">
        <v>71</v>
      </c>
      <c r="C203" s="2">
        <v>0.21875000000004599</v>
      </c>
      <c r="D203">
        <f t="shared" si="6"/>
        <v>9.4658881563999984</v>
      </c>
      <c r="E203">
        <f t="shared" si="7"/>
        <v>-2.3574755698706884</v>
      </c>
    </row>
    <row r="204" spans="1:5" x14ac:dyDescent="0.25">
      <c r="A204" s="2">
        <v>0.21944444444441599</v>
      </c>
      <c r="B204" s="3">
        <v>71</v>
      </c>
      <c r="C204" s="2">
        <v>0.21944444444449099</v>
      </c>
      <c r="D204">
        <f t="shared" si="6"/>
        <v>9.4658881563999984</v>
      </c>
      <c r="E204">
        <f t="shared" si="7"/>
        <v>-2.3574755698706884</v>
      </c>
    </row>
    <row r="205" spans="1:5" x14ac:dyDescent="0.25">
      <c r="A205" s="2">
        <v>0.22013888888885999</v>
      </c>
      <c r="B205">
        <v>67</v>
      </c>
      <c r="C205" s="2">
        <v>0.22013888888893601</v>
      </c>
      <c r="D205">
        <f t="shared" si="6"/>
        <v>8.9325986827999984</v>
      </c>
      <c r="E205">
        <f t="shared" si="7"/>
        <v>-2.4154628275210377</v>
      </c>
    </row>
    <row r="206" spans="1:5" x14ac:dyDescent="0.25">
      <c r="A206" s="2">
        <v>0.22083333333330399</v>
      </c>
      <c r="B206">
        <v>65</v>
      </c>
      <c r="C206" s="2">
        <v>0.22083333333338101</v>
      </c>
      <c r="D206">
        <f t="shared" si="6"/>
        <v>8.6659539460000001</v>
      </c>
      <c r="E206">
        <f t="shared" si="7"/>
        <v>-2.4457681770163666</v>
      </c>
    </row>
    <row r="207" spans="1:5" x14ac:dyDescent="0.25">
      <c r="A207" s="2">
        <v>0.22152777777774799</v>
      </c>
      <c r="B207">
        <v>58</v>
      </c>
      <c r="C207" s="2">
        <v>0.22152777777782601</v>
      </c>
      <c r="D207">
        <f t="shared" si="6"/>
        <v>7.7326973671999992</v>
      </c>
      <c r="E207">
        <f t="shared" si="7"/>
        <v>-2.5597124363655843</v>
      </c>
    </row>
    <row r="208" spans="1:5" x14ac:dyDescent="0.25">
      <c r="A208" s="2">
        <v>0.22222222222219201</v>
      </c>
      <c r="B208">
        <v>54</v>
      </c>
      <c r="C208" s="2">
        <v>0.222222222222271</v>
      </c>
      <c r="D208">
        <f t="shared" si="6"/>
        <v>7.1994078936000001</v>
      </c>
      <c r="E208">
        <f t="shared" si="7"/>
        <v>-2.6311714003477293</v>
      </c>
    </row>
    <row r="209" spans="1:5" x14ac:dyDescent="0.25">
      <c r="A209" s="2">
        <v>0.22291666666663601</v>
      </c>
      <c r="B209">
        <v>41</v>
      </c>
      <c r="C209" s="2">
        <v>0.222916666666716</v>
      </c>
      <c r="D209">
        <f t="shared" si="6"/>
        <v>5.4662171044000001</v>
      </c>
      <c r="E209">
        <f t="shared" si="7"/>
        <v>-2.9065833802076959</v>
      </c>
    </row>
    <row r="210" spans="1:5" x14ac:dyDescent="0.25">
      <c r="A210" s="2">
        <v>0.22361111111108001</v>
      </c>
      <c r="B210">
        <v>37</v>
      </c>
      <c r="C210" s="2">
        <v>0.223611111111161</v>
      </c>
      <c r="D210">
        <f t="shared" si="6"/>
        <v>4.9329276308000001</v>
      </c>
      <c r="E210">
        <f t="shared" si="7"/>
        <v>-3.0092375342677791</v>
      </c>
    </row>
    <row r="211" spans="1:5" x14ac:dyDescent="0.25">
      <c r="A211" s="2">
        <v>0.22430555555552401</v>
      </c>
      <c r="B211">
        <v>31</v>
      </c>
      <c r="C211" s="2">
        <v>0.224305555555606</v>
      </c>
      <c r="D211">
        <f t="shared" si="6"/>
        <v>4.1329934203999992</v>
      </c>
      <c r="E211">
        <f t="shared" si="7"/>
        <v>-3.1861682424268576</v>
      </c>
    </row>
    <row r="212" spans="1:5" x14ac:dyDescent="0.25">
      <c r="A212" s="2">
        <v>0.224999999999968</v>
      </c>
      <c r="B212">
        <v>29</v>
      </c>
      <c r="C212" s="2">
        <v>0.22500000000005099</v>
      </c>
      <c r="D212">
        <f t="shared" si="6"/>
        <v>3.8663486835999996</v>
      </c>
      <c r="E212">
        <f t="shared" si="7"/>
        <v>-3.2528596169255297</v>
      </c>
    </row>
    <row r="213" spans="1:5" x14ac:dyDescent="0.25">
      <c r="A213" s="2">
        <v>0.225694444444412</v>
      </c>
      <c r="B213">
        <v>25</v>
      </c>
      <c r="C213" s="2">
        <v>0.22569444444449599</v>
      </c>
      <c r="D213">
        <f t="shared" si="6"/>
        <v>3.33305921</v>
      </c>
      <c r="E213">
        <f t="shared" si="7"/>
        <v>-3.4012796220438029</v>
      </c>
    </row>
    <row r="214" spans="1:5" x14ac:dyDescent="0.25">
      <c r="A214" s="2">
        <v>0.226388888888856</v>
      </c>
      <c r="B214">
        <v>23</v>
      </c>
      <c r="C214" s="2">
        <v>0.22638888888894099</v>
      </c>
      <c r="D214">
        <f t="shared" si="6"/>
        <v>3.0664144731999996</v>
      </c>
      <c r="E214">
        <f t="shared" si="7"/>
        <v>-3.4846612309828542</v>
      </c>
    </row>
    <row r="215" spans="1:5" x14ac:dyDescent="0.25">
      <c r="A215" s="2">
        <v>0.2270833333333</v>
      </c>
      <c r="B215">
        <v>20</v>
      </c>
      <c r="C215" s="2">
        <v>0.22708333333338601</v>
      </c>
      <c r="D215">
        <f t="shared" si="6"/>
        <v>2.6664473679999996</v>
      </c>
      <c r="E215">
        <f t="shared" si="7"/>
        <v>-3.624423173358013</v>
      </c>
    </row>
    <row r="216" spans="1:5" x14ac:dyDescent="0.25">
      <c r="A216" s="2">
        <v>0.22777777777774399</v>
      </c>
      <c r="B216">
        <v>18</v>
      </c>
      <c r="C216" s="2">
        <v>0.22777777777783101</v>
      </c>
      <c r="D216">
        <f t="shared" si="6"/>
        <v>2.3998026311999996</v>
      </c>
      <c r="E216">
        <f t="shared" si="7"/>
        <v>-3.7297836890158389</v>
      </c>
    </row>
    <row r="217" spans="1:5" x14ac:dyDescent="0.25">
      <c r="A217" s="2">
        <v>0.22847222222218799</v>
      </c>
      <c r="B217">
        <v>17</v>
      </c>
      <c r="C217" s="2">
        <v>0.22847222222227601</v>
      </c>
      <c r="D217">
        <f t="shared" si="6"/>
        <v>2.2664802627999996</v>
      </c>
      <c r="E217">
        <f t="shared" si="7"/>
        <v>-3.7869421028557877</v>
      </c>
    </row>
    <row r="218" spans="1:5" x14ac:dyDescent="0.25">
      <c r="A218" s="2">
        <v>0.22916666666663199</v>
      </c>
      <c r="B218">
        <v>16</v>
      </c>
      <c r="C218" s="2">
        <v>0.229166666666721</v>
      </c>
      <c r="D218">
        <f t="shared" si="6"/>
        <v>2.1331578944</v>
      </c>
      <c r="E218">
        <f t="shared" si="7"/>
        <v>-3.8475667246722223</v>
      </c>
    </row>
    <row r="219" spans="1:5" x14ac:dyDescent="0.25">
      <c r="A219" s="2">
        <v>0.22986111111107599</v>
      </c>
      <c r="B219">
        <v>15</v>
      </c>
      <c r="C219" s="2">
        <v>0.229861111111166</v>
      </c>
      <c r="D219">
        <f t="shared" si="6"/>
        <v>1.9998355259999998</v>
      </c>
      <c r="E219">
        <f t="shared" si="7"/>
        <v>-3.9121052458097934</v>
      </c>
    </row>
    <row r="220" spans="1:5" x14ac:dyDescent="0.25">
      <c r="A220" s="2">
        <v>0.23055555555551999</v>
      </c>
      <c r="B220">
        <v>14</v>
      </c>
      <c r="C220" s="2">
        <v>0.230555555555611</v>
      </c>
      <c r="D220">
        <f t="shared" si="6"/>
        <v>1.8665131576</v>
      </c>
      <c r="E220">
        <f t="shared" si="7"/>
        <v>-3.981098117296745</v>
      </c>
    </row>
    <row r="221" spans="1:5" x14ac:dyDescent="0.25">
      <c r="A221" s="2">
        <v>0.23124999999996401</v>
      </c>
      <c r="B221">
        <v>14</v>
      </c>
      <c r="C221" s="2">
        <v>0.23125000000005599</v>
      </c>
      <c r="D221">
        <f t="shared" si="6"/>
        <v>1.8665131576</v>
      </c>
      <c r="E221">
        <f t="shared" si="7"/>
        <v>-3.981098117296745</v>
      </c>
    </row>
    <row r="222" spans="1:5" x14ac:dyDescent="0.25">
      <c r="A222" s="2">
        <v>0.23194444444440801</v>
      </c>
      <c r="B222">
        <v>13</v>
      </c>
      <c r="C222" s="2">
        <v>0.23194444444450099</v>
      </c>
      <c r="D222">
        <f t="shared" si="6"/>
        <v>1.7331907892</v>
      </c>
      <c r="E222">
        <f t="shared" si="7"/>
        <v>-4.0552060894504667</v>
      </c>
    </row>
    <row r="223" spans="1:5" x14ac:dyDescent="0.25">
      <c r="A223" s="2">
        <v>0.23263888888885201</v>
      </c>
      <c r="B223">
        <v>13</v>
      </c>
      <c r="C223" s="2">
        <v>0.23263888888894599</v>
      </c>
      <c r="D223">
        <f t="shared" si="6"/>
        <v>1.7331907892</v>
      </c>
      <c r="E223">
        <f t="shared" si="7"/>
        <v>-4.0552060894504667</v>
      </c>
    </row>
    <row r="224" spans="1:5" x14ac:dyDescent="0.25">
      <c r="A224" s="2">
        <v>0.23333333333329601</v>
      </c>
      <c r="B224">
        <v>13</v>
      </c>
      <c r="C224" s="2">
        <v>0.23333333333339101</v>
      </c>
      <c r="D224">
        <f t="shared" si="6"/>
        <v>1.7331907892</v>
      </c>
      <c r="E224">
        <f t="shared" si="7"/>
        <v>-4.0552060894504667</v>
      </c>
    </row>
    <row r="225" spans="1:5" x14ac:dyDescent="0.25">
      <c r="A225" s="2">
        <v>0.23402777777774</v>
      </c>
      <c r="B225">
        <v>12</v>
      </c>
      <c r="C225" s="2">
        <v>0.23402777777783601</v>
      </c>
      <c r="D225">
        <f t="shared" si="6"/>
        <v>1.5998684208</v>
      </c>
      <c r="E225">
        <f t="shared" si="7"/>
        <v>-4.1352487971240031</v>
      </c>
    </row>
    <row r="226" spans="1:5" x14ac:dyDescent="0.25">
      <c r="A226" s="2">
        <v>0.23888888888884799</v>
      </c>
      <c r="B226">
        <v>11</v>
      </c>
      <c r="D226">
        <f t="shared" si="6"/>
        <v>1.4665460523999998</v>
      </c>
      <c r="E226">
        <f t="shared" si="7"/>
        <v>-4.2222601741136332</v>
      </c>
    </row>
    <row r="227" spans="1:5" x14ac:dyDescent="0.25">
      <c r="A227" s="2"/>
    </row>
    <row r="228" spans="1:5" x14ac:dyDescent="0.25">
      <c r="A228" s="2"/>
    </row>
    <row r="229" spans="1:5" x14ac:dyDescent="0.25">
      <c r="A229" s="2"/>
    </row>
    <row r="230" spans="1:5" x14ac:dyDescent="0.25">
      <c r="A230" s="2"/>
    </row>
    <row r="231" spans="1:5" x14ac:dyDescent="0.25">
      <c r="A231" s="2"/>
    </row>
    <row r="232" spans="1:5" x14ac:dyDescent="0.25">
      <c r="A232" s="2"/>
    </row>
    <row r="233" spans="1:5" x14ac:dyDescent="0.25">
      <c r="A233" s="2"/>
    </row>
    <row r="234" spans="1:5" x14ac:dyDescent="0.25">
      <c r="A234" s="2"/>
    </row>
    <row r="235" spans="1:5" x14ac:dyDescent="0.25">
      <c r="A235" s="2"/>
    </row>
    <row r="236" spans="1:5" x14ac:dyDescent="0.25">
      <c r="A236" s="2"/>
    </row>
    <row r="237" spans="1:5" x14ac:dyDescent="0.25">
      <c r="A237" s="2"/>
    </row>
    <row r="238" spans="1:5" x14ac:dyDescent="0.25">
      <c r="A238" s="2"/>
    </row>
    <row r="239" spans="1:5" x14ac:dyDescent="0.25">
      <c r="A239" s="2"/>
    </row>
    <row r="240" spans="1:5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Рудачихин Павел</dc:creator>
  <cp:lastModifiedBy>Павел Рудачихин</cp:lastModifiedBy>
  <dcterms:created xsi:type="dcterms:W3CDTF">2015-06-05T18:19:34Z</dcterms:created>
  <dcterms:modified xsi:type="dcterms:W3CDTF">2026-04-22T22:29:52Z</dcterms:modified>
</cp:coreProperties>
</file>